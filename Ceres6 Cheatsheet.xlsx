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O:\Business Systems Analyst\Projects\CC_Isaiah De La Rosa\All Systems Data Workflow\"/>
    </mc:Choice>
  </mc:AlternateContent>
  <xr:revisionPtr revIDLastSave="0" documentId="13_ncr:1_{38A427BD-77CF-44F0-A040-3105E9EBD33B}" xr6:coauthVersionLast="47" xr6:coauthVersionMax="47" xr10:uidLastSave="{00000000-0000-0000-0000-000000000000}"/>
  <bookViews>
    <workbookView xWindow="-120" yWindow="-120" windowWidth="29040" windowHeight="15720" xr2:uid="{DC7C5E46-3AC6-4A02-8F99-578FA2772F9B}"/>
  </bookViews>
  <sheets>
    <sheet name="Essential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3" l="1"/>
  <c r="A102" i="3"/>
  <c r="A103" i="3"/>
  <c r="A104" i="3"/>
  <c r="A105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0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81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62" i="3"/>
  <c r="A37" i="3"/>
  <c r="A38" i="3"/>
  <c r="A39" i="3"/>
  <c r="A40" i="3"/>
  <c r="A41" i="3"/>
  <c r="A42" i="3"/>
  <c r="A43" i="3"/>
  <c r="A44" i="3"/>
  <c r="A45" i="3"/>
  <c r="A46" i="3"/>
  <c r="A47" i="3"/>
  <c r="A49" i="3"/>
  <c r="A51" i="3"/>
  <c r="A52" i="3"/>
  <c r="A53" i="3"/>
  <c r="A55" i="3"/>
  <c r="A56" i="3"/>
  <c r="A57" i="3"/>
  <c r="A58" i="3"/>
  <c r="A59" i="3"/>
  <c r="A60" i="3"/>
  <c r="A4" i="3"/>
  <c r="A5" i="3"/>
  <c r="A6" i="3"/>
  <c r="A7" i="3"/>
  <c r="A8" i="3"/>
  <c r="A9" i="3"/>
  <c r="A10" i="3"/>
  <c r="A11" i="3"/>
  <c r="A12" i="3"/>
  <c r="A14" i="3"/>
  <c r="A16" i="3"/>
  <c r="A17" i="3"/>
  <c r="A18" i="3"/>
  <c r="A19" i="3"/>
  <c r="A20" i="3"/>
  <c r="A21" i="3"/>
  <c r="A23" i="3"/>
  <c r="A24" i="3"/>
  <c r="A25" i="3"/>
  <c r="A26" i="3"/>
  <c r="A27" i="3"/>
  <c r="A28" i="3"/>
  <c r="A30" i="3"/>
  <c r="A31" i="3"/>
  <c r="A32" i="3"/>
  <c r="A33" i="3"/>
  <c r="A34" i="3"/>
  <c r="A35" i="3"/>
  <c r="A3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</calcChain>
</file>

<file path=xl/sharedStrings.xml><?xml version="1.0" encoding="utf-8"?>
<sst xmlns="http://schemas.openxmlformats.org/spreadsheetml/2006/main" count="648" uniqueCount="358">
  <si>
    <t>Database/Report Location</t>
  </si>
  <si>
    <t>Agencies</t>
  </si>
  <si>
    <t>Keyword / Search Term</t>
  </si>
  <si>
    <t>Agency ID</t>
  </si>
  <si>
    <t>No.</t>
  </si>
  <si>
    <t>Name</t>
  </si>
  <si>
    <t>Address</t>
  </si>
  <si>
    <t>City</t>
  </si>
  <si>
    <t>Contact</t>
  </si>
  <si>
    <t>Phone No.</t>
  </si>
  <si>
    <t>Department Code</t>
  </si>
  <si>
    <t>Program Code</t>
  </si>
  <si>
    <t>Payment Terms Code</t>
  </si>
  <si>
    <t>Shipment Method Code</t>
  </si>
  <si>
    <t>Blocked</t>
  </si>
  <si>
    <t>Last Date Modified</t>
  </si>
  <si>
    <t>Balance ($)</t>
  </si>
  <si>
    <t>Fees ($)</t>
  </si>
  <si>
    <t>Balance Due ($)</t>
  </si>
  <si>
    <t>Payments ($)</t>
  </si>
  <si>
    <t>Location Code</t>
  </si>
  <si>
    <t>Fax No.</t>
  </si>
  <si>
    <t>ZIP Code</t>
  </si>
  <si>
    <t>State</t>
  </si>
  <si>
    <t>Debit Amount</t>
  </si>
  <si>
    <t>Credit Amount</t>
  </si>
  <si>
    <t>Email</t>
  </si>
  <si>
    <t>Coupled to Dataverse</t>
  </si>
  <si>
    <t>Parent Agency No.</t>
  </si>
  <si>
    <t>Geographical Location Code</t>
  </si>
  <si>
    <t>Metropolitan Area Code</t>
  </si>
  <si>
    <t>Federal Congr. Dist. Code</t>
  </si>
  <si>
    <t>State Congr. Dist. Code</t>
  </si>
  <si>
    <t>FBC County Code</t>
  </si>
  <si>
    <t>Permit Web Orders</t>
  </si>
  <si>
    <t>UNC Food Bank ID No.</t>
  </si>
  <si>
    <t>FBC Agency Category Code</t>
  </si>
  <si>
    <t>UNC Activity Status</t>
  </si>
  <si>
    <t>Monitoring Expiration Date</t>
  </si>
  <si>
    <t>Agency Group Code</t>
  </si>
  <si>
    <t>Fund No.</t>
  </si>
  <si>
    <t>Delivery Zone Code</t>
  </si>
  <si>
    <t>FBC Size Code</t>
  </si>
  <si>
    <t>Mobile Pantry</t>
  </si>
  <si>
    <t>Dormant</t>
  </si>
  <si>
    <t>Phone Ext. No.</t>
  </si>
  <si>
    <t>Last Invoice Date</t>
  </si>
  <si>
    <t>N/A</t>
  </si>
  <si>
    <t>Description</t>
  </si>
  <si>
    <t>Base Unit of Measure</t>
  </si>
  <si>
    <t>Inventory Posting Group</t>
  </si>
  <si>
    <t>Unit Fees</t>
  </si>
  <si>
    <t>Unit Cost</t>
  </si>
  <si>
    <t>Gross Weight</t>
  </si>
  <si>
    <t>Quantity on Hand</t>
  </si>
  <si>
    <t>Pack Size</t>
  </si>
  <si>
    <t>USDA Value</t>
  </si>
  <si>
    <t>FBC Storage Requirement Code</t>
  </si>
  <si>
    <t>FBC Product Type Code</t>
  </si>
  <si>
    <t>FBC Product Category Code</t>
  </si>
  <si>
    <t>FBC Product Classification</t>
  </si>
  <si>
    <t>Shopping List</t>
  </si>
  <si>
    <t>HER Rating</t>
  </si>
  <si>
    <t>HER Rating Date</t>
  </si>
  <si>
    <t>Qty. on Sales Order</t>
  </si>
  <si>
    <t>Items</t>
  </si>
  <si>
    <t>FBC Donor Class of Trade Code</t>
  </si>
  <si>
    <t>FBC Product Source Code</t>
  </si>
  <si>
    <t>Food Drive Donor</t>
  </si>
  <si>
    <t>G/L Account No.</t>
  </si>
  <si>
    <t>Posting Date</t>
  </si>
  <si>
    <t>Document Type</t>
  </si>
  <si>
    <t>Document No.</t>
  </si>
  <si>
    <t>Bal. Account No.</t>
  </si>
  <si>
    <t>User ID</t>
  </si>
  <si>
    <t>Source Code</t>
  </si>
  <si>
    <t>Reason Code</t>
  </si>
  <si>
    <t>Bal. Account Type</t>
  </si>
  <si>
    <t>External Document No.</t>
  </si>
  <si>
    <t>Source Type</t>
  </si>
  <si>
    <t>Source No.</t>
  </si>
  <si>
    <t>Reversed</t>
  </si>
  <si>
    <t>Reversed by Entry No.</t>
  </si>
  <si>
    <t>Reversed Entry No.</t>
  </si>
  <si>
    <t>G/L Account Name</t>
  </si>
  <si>
    <t>Restricted Code</t>
  </si>
  <si>
    <t>Parent Source No.</t>
  </si>
  <si>
    <t>Source Name</t>
  </si>
  <si>
    <t>Allocation Code</t>
  </si>
  <si>
    <t>Entry No.</t>
  </si>
  <si>
    <t>General Ledger Entries</t>
  </si>
  <si>
    <t>Common</t>
  </si>
  <si>
    <t>Parent Donor No.</t>
  </si>
  <si>
    <t>Donors</t>
  </si>
  <si>
    <t>Vendors</t>
  </si>
  <si>
    <t>Qty. on Hand less Qty. on Agency Order</t>
  </si>
  <si>
    <t>Agency FBC Category Code</t>
  </si>
  <si>
    <t>Donor ID</t>
  </si>
  <si>
    <t>Full Information Key</t>
  </si>
  <si>
    <t>Donor FBC Class of Trade Code</t>
  </si>
  <si>
    <t>Agency Parent No.</t>
  </si>
  <si>
    <t>Donor Parent No.</t>
  </si>
  <si>
    <t>Vendor ID</t>
  </si>
  <si>
    <t>Entity Type</t>
  </si>
  <si>
    <t>Canonical Field</t>
  </si>
  <si>
    <t>Synonyms / Ask Phrases</t>
  </si>
  <si>
    <t>agency</t>
  </si>
  <si>
    <t>agency_id</t>
  </si>
  <si>
    <t>agency_name</t>
  </si>
  <si>
    <t>agency_address</t>
  </si>
  <si>
    <t>agency_city</t>
  </si>
  <si>
    <t>agency_state</t>
  </si>
  <si>
    <t>agency_email</t>
  </si>
  <si>
    <t>agency_contact</t>
  </si>
  <si>
    <t>agency_payments</t>
  </si>
  <si>
    <t>agency_balance</t>
  </si>
  <si>
    <t>agency_fees</t>
  </si>
  <si>
    <t>agency_zip_code</t>
  </si>
  <si>
    <t>agency_location_code</t>
  </si>
  <si>
    <t>agency_web_orders</t>
  </si>
  <si>
    <t>agency_group_code</t>
  </si>
  <si>
    <t>agency_method_code</t>
  </si>
  <si>
    <t>agency_zone_code</t>
  </si>
  <si>
    <t>agency_expiration_date</t>
  </si>
  <si>
    <t>agency_invoice_date</t>
  </si>
  <si>
    <t>agency_area_code</t>
  </si>
  <si>
    <t>agency_size_code</t>
  </si>
  <si>
    <t>agency_county_code</t>
  </si>
  <si>
    <t>agency_activity_status</t>
  </si>
  <si>
    <t>agency_parent_no</t>
  </si>
  <si>
    <t>agency_balance_due</t>
  </si>
  <si>
    <t>agency_fed_code</t>
  </si>
  <si>
    <t>agency_dep_code</t>
  </si>
  <si>
    <t>agency_pro_code</t>
  </si>
  <si>
    <t>agency_geo_code</t>
  </si>
  <si>
    <t>agency_mob_pantry</t>
  </si>
  <si>
    <t>agency_fbc_code</t>
  </si>
  <si>
    <t>agency_unc_no</t>
  </si>
  <si>
    <t>agency_pho_no</t>
  </si>
  <si>
    <t>agency_fun_no</t>
  </si>
  <si>
    <t>agency_state_code</t>
  </si>
  <si>
    <t>donor_id</t>
  </si>
  <si>
    <t>donor_name</t>
  </si>
  <si>
    <t>donor_address</t>
  </si>
  <si>
    <t>donor_city</t>
  </si>
  <si>
    <t>donor_state</t>
  </si>
  <si>
    <t>donor_zip_code</t>
  </si>
  <si>
    <t>donor_contact</t>
  </si>
  <si>
    <t>donor_phone</t>
  </si>
  <si>
    <t>donor_extension</t>
  </si>
  <si>
    <t>donor_fax</t>
  </si>
  <si>
    <t>donor_email</t>
  </si>
  <si>
    <t>donor_last_invoice</t>
  </si>
  <si>
    <t>donor_parent_no</t>
  </si>
  <si>
    <t>donor_loc_code</t>
  </si>
  <si>
    <t>donor_fbc_trade_code</t>
  </si>
  <si>
    <t>donor_fbc_source_code</t>
  </si>
  <si>
    <t>donor_fbc_category_code</t>
  </si>
  <si>
    <t>donor_fbc_county_code</t>
  </si>
  <si>
    <t>drive_donor</t>
  </si>
  <si>
    <t>donor_dormant</t>
  </si>
  <si>
    <t>donor_blocked</t>
  </si>
  <si>
    <t>donor_geo_loc_code</t>
  </si>
  <si>
    <t>donor_area_code</t>
  </si>
  <si>
    <t>donor_fed_code</t>
  </si>
  <si>
    <t>donor_state_code</t>
  </si>
  <si>
    <t>vendor_id</t>
  </si>
  <si>
    <t>vendor_name</t>
  </si>
  <si>
    <t>donors</t>
  </si>
  <si>
    <t>vendors</t>
  </si>
  <si>
    <t>items</t>
  </si>
  <si>
    <t>ledger</t>
  </si>
  <si>
    <t>vendor_zip_code</t>
  </si>
  <si>
    <t>vendor_address</t>
  </si>
  <si>
    <t>vendor_city</t>
  </si>
  <si>
    <t>vendor_state</t>
  </si>
  <si>
    <t>vendor_location_code</t>
  </si>
  <si>
    <t>vendor_contact</t>
  </si>
  <si>
    <t>vendor_email</t>
  </si>
  <si>
    <t>vendor_dormant</t>
  </si>
  <si>
    <t>item_pack_size</t>
  </si>
  <si>
    <t>item_shopping_list</t>
  </si>
  <si>
    <t>item_unit_cost</t>
  </si>
  <si>
    <t>item_usda_value</t>
  </si>
  <si>
    <t>item_unit_fees</t>
  </si>
  <si>
    <t>item_gross_weight</t>
  </si>
  <si>
    <t>item_her_rating</t>
  </si>
  <si>
    <t>vendor_phone</t>
  </si>
  <si>
    <t>vendor_balance</t>
  </si>
  <si>
    <t>vendor_phone_ext</t>
  </si>
  <si>
    <t>vendor_last_date</t>
  </si>
  <si>
    <t>vendor_balance_due</t>
  </si>
  <si>
    <t>vendor_last_modified</t>
  </si>
  <si>
    <t>vendor_payment_code</t>
  </si>
  <si>
    <t>vendor_shipment_code</t>
  </si>
  <si>
    <t>item_fbc_classification</t>
  </si>
  <si>
    <t>item_permit_orders</t>
  </si>
  <si>
    <t>item_quantity_hand</t>
  </si>
  <si>
    <t>item_inventory_group</t>
  </si>
  <si>
    <t>item_her_date</t>
  </si>
  <si>
    <t>vendor_payments</t>
  </si>
  <si>
    <t>item_base_measure</t>
  </si>
  <si>
    <t>item_number</t>
  </si>
  <si>
    <t>item_desc</t>
  </si>
  <si>
    <t>item_sales_qty</t>
  </si>
  <si>
    <t>item_qty_hand_less_qty_ordered</t>
  </si>
  <si>
    <t>item_fbc_storage_code</t>
  </si>
  <si>
    <t>item_fbc_type_code</t>
  </si>
  <si>
    <t>item_fbc_category_code</t>
  </si>
  <si>
    <t>gl_date</t>
  </si>
  <si>
    <t>gl_id</t>
  </si>
  <si>
    <t>gl_type</t>
  </si>
  <si>
    <t>gl_doc_no</t>
  </si>
  <si>
    <t>gl_ext_doc_no</t>
  </si>
  <si>
    <t>gl_account</t>
  </si>
  <si>
    <t>gl_account_name</t>
  </si>
  <si>
    <t>gl_desc</t>
  </si>
  <si>
    <t>gl_fund</t>
  </si>
  <si>
    <t>gl_department</t>
  </si>
  <si>
    <t>gl_program</t>
  </si>
  <si>
    <t>gl_debit</t>
  </si>
  <si>
    <t>gl_credit</t>
  </si>
  <si>
    <t>gl_bal_type</t>
  </si>
  <si>
    <t>gl_bal_no</t>
  </si>
  <si>
    <t>gl_source</t>
  </si>
  <si>
    <t>gl_sourcename</t>
  </si>
  <si>
    <t>gl_sourcetype</t>
  </si>
  <si>
    <t>gl_sourcenum</t>
  </si>
  <si>
    <t>gl_reason</t>
  </si>
  <si>
    <t>gl_reversed</t>
  </si>
  <si>
    <t>gl_reversed_by</t>
  </si>
  <si>
    <t>gl_reversed_entry</t>
  </si>
  <si>
    <t>gl_allocation</t>
  </si>
  <si>
    <t>gl_parent</t>
  </si>
  <si>
    <t>gl_entry</t>
  </si>
  <si>
    <t>gl_restricted</t>
  </si>
  <si>
    <t>n/a</t>
  </si>
  <si>
    <t>agency id, agency number, agency no, agency identifier, agency record id</t>
  </si>
  <si>
    <t>agency name, organization name, partner name, agency title</t>
  </si>
  <si>
    <t>agency address, street address, mailing address, physical address, location address</t>
  </si>
  <si>
    <t>agency city, city, town, municipality</t>
  </si>
  <si>
    <t>agency state, state, province</t>
  </si>
  <si>
    <t>agency zip, zip code, zipcode, postal code</t>
  </si>
  <si>
    <t>agency location code, location code, site code, facility code, location id</t>
  </si>
  <si>
    <t>agency phone, phone number, agency phone number, telephone, contact number</t>
  </si>
  <si>
    <t>agency department code, department code, dept code, department id</t>
  </si>
  <si>
    <t>agency program code, program code, program id, service program</t>
  </si>
  <si>
    <t>agency email, email address, contact email, agency email</t>
  </si>
  <si>
    <t>parent agency, parent agency number, parent agency id, parent no, umbrella agency</t>
  </si>
  <si>
    <t>permit web orders, web orders, online ordering permission, allow web orders</t>
  </si>
  <si>
    <t>agency group code, group code, agency group, grouping code</t>
  </si>
  <si>
    <t>agency contact, primary contact, point of contact, poc, contact person</t>
  </si>
  <si>
    <t>shipment method, shipment method code, shipping method, delivery method</t>
  </si>
  <si>
    <t>delivery zone, delivery zone code, zone code, service zone, delivery area</t>
  </si>
  <si>
    <t>monitoring expiration date, monitoring expiration, compliance expiration, monitoring due date</t>
  </si>
  <si>
    <t>last invoice date, most recent invoice, latest invoice date, last billed date</t>
  </si>
  <si>
    <t>fund number, fund no, agency fund, fund code</t>
  </si>
  <si>
    <t>geographical location code, geo location code, geographic code, geo code, location geography</t>
  </si>
  <si>
    <t>metropolitan area code, metro area code, msa code, metropolitan code, metro region</t>
  </si>
  <si>
    <t>federal congressional district, federal district code, us congressional district, federal cong dist</t>
  </si>
  <si>
    <t>state congressional district, state district code, state cong dist, state legislative district</t>
  </si>
  <si>
    <t>mobile pantry, mobile pantry flag, mobile distribution, mobile pantry indicator</t>
  </si>
  <si>
    <t>fbc size code, agency size, size code, fbc agency size</t>
  </si>
  <si>
    <t>fbc county code, county code, agency county, service county</t>
  </si>
  <si>
    <t>fbc agency category, fbc category code, agency category, fbc classification</t>
  </si>
  <si>
    <t>unc food bank id, unc id number, unc agency id, food bank unc number</t>
  </si>
  <si>
    <t>unc activity status, unc status, agency status, activity status</t>
  </si>
  <si>
    <t>agency balance, account balance, outstanding balance, balance amount</t>
  </si>
  <si>
    <t>balance due, amount due, outstanding due, unpaid balance</t>
  </si>
  <si>
    <t>agency fees, total fees, service fees, fee amount</t>
  </si>
  <si>
    <t>agency payments, payments received, payment total, amount paid</t>
  </si>
  <si>
    <t>donor id, donor number, donor no, donor identifier</t>
  </si>
  <si>
    <t>donor name, donor organization, donor account name</t>
  </si>
  <si>
    <t>donor address, donor street address, donor mailing address</t>
  </si>
  <si>
    <t>donor city, donor city name</t>
  </si>
  <si>
    <t>donor state, donor state code</t>
  </si>
  <si>
    <t>donor zip, zip code, zipcode, postal code</t>
  </si>
  <si>
    <t>donor contact, primary contact, point of contact, poc, contact person</t>
  </si>
  <si>
    <t>donor phone, phone number, donor phone number, telephone</t>
  </si>
  <si>
    <t>donor phone extension, phone ext, extension number, ext</t>
  </si>
  <si>
    <t>donor fax, fax number, donor fax number</t>
  </si>
  <si>
    <t>donor email, email address, contact email</t>
  </si>
  <si>
    <t>parent donor, parent donor number, parent donor id, parent no</t>
  </si>
  <si>
    <t>donor location code, location code, site code, facility code</t>
  </si>
  <si>
    <t>fbc class of trade, donor class of trade, trade code, fbc trade code</t>
  </si>
  <si>
    <t>fbc product source, product source code, source code</t>
  </si>
  <si>
    <t>fbc product category, product category code, fbc category</t>
  </si>
  <si>
    <t>fbc county code, county code, donor county</t>
  </si>
  <si>
    <t>food drive donor, drive donor, food drive participant</t>
  </si>
  <si>
    <t>donor dormant, inactive donor, dormant status</t>
  </si>
  <si>
    <t>donor blocked, blocked donor, restricted donor</t>
  </si>
  <si>
    <t>geographical location code, geo location code, geographic code</t>
  </si>
  <si>
    <t>metropolitan area code, metro area code, msa code</t>
  </si>
  <si>
    <t>federal congressional district, federal district code, us congressional district</t>
  </si>
  <si>
    <t>state congressional district, state district code, state legislative district</t>
  </si>
  <si>
    <t>vendor id, vendor number, vendor no, supplier id, supplier number</t>
  </si>
  <si>
    <t>vendor name, supplier name, vendor account name, company name</t>
  </si>
  <si>
    <t>vendor zip, zip code, zipcode, postal code</t>
  </si>
  <si>
    <t>vendor address, street address, mailing address, business address</t>
  </si>
  <si>
    <t>vendor city, city, town</t>
  </si>
  <si>
    <t>vendor state, state, province</t>
  </si>
  <si>
    <t>vendor location code, location code, site code, facility code</t>
  </si>
  <si>
    <t>vendor contact, primary contact, point of contact, poc, contact person</t>
  </si>
  <si>
    <t>vendor phone, phone number, vendor phone number, telephone</t>
  </si>
  <si>
    <t>vendor phone extension, phone ext, extension number, ext</t>
  </si>
  <si>
    <t>vendor email, email address, contact email</t>
  </si>
  <si>
    <t>payment terms, payment terms code, net terms, payment code</t>
  </si>
  <si>
    <t>last modified date, last updated date, date modified</t>
  </si>
  <si>
    <t>vendor dormant, inactive vendor, dormant status</t>
  </si>
  <si>
    <t>vendor balance, account balance, outstanding balance</t>
  </si>
  <si>
    <t>vendor payments, payments made, payment total, amount paid</t>
  </si>
  <si>
    <t>fbc product classification, product classification, fbc classification, item classification</t>
  </si>
  <si>
    <t>item number, item no, product number, sku, item id</t>
  </si>
  <si>
    <t>item description, product description, item name</t>
  </si>
  <si>
    <t>pack size, item pack size, case size, unit pack</t>
  </si>
  <si>
    <t>permit web orders, web orders allowed, online ordering permission, allow web orders</t>
  </si>
  <si>
    <t>shopping list, item shopping list, pick list, order list</t>
  </si>
  <si>
    <t>quantity on hand, qty on hand, inventory on hand, stock on hand</t>
  </si>
  <si>
    <t>quantity on sales order, qty on order, sales order quantity, committed quantity</t>
  </si>
  <si>
    <t>available quantity, qty available, on hand less ordered, net available inventory</t>
  </si>
  <si>
    <t>base unit of measure, base uom, unit of measure, uom</t>
  </si>
  <si>
    <t>unit cost, item cost, cost per unit</t>
  </si>
  <si>
    <t>usda value, usda item value, usda valuation</t>
  </si>
  <si>
    <t>unit fees, per unit fees, item fees</t>
  </si>
  <si>
    <t>gross weight, item weight, shipping weight</t>
  </si>
  <si>
    <t>inventory posting group, inventory group, posting group</t>
  </si>
  <si>
    <t>fbc storage requirement, storage code, storage requirement code</t>
  </si>
  <si>
    <t>fbc product type, product type code, item type code</t>
  </si>
  <si>
    <t>fbc product category, product category code, item category</t>
  </si>
  <si>
    <t>her rating, item her rating, nutrition rating</t>
  </si>
  <si>
    <t>her rating date, her date, rating date</t>
  </si>
  <si>
    <t>posting date, gl posting date, transaction date, entry date</t>
  </si>
  <si>
    <t>user id, gl user id, entered by, created by</t>
  </si>
  <si>
    <t>document type, transaction type, gl doc type</t>
  </si>
  <si>
    <t>document number, doc no, gl document number, reference number</t>
  </si>
  <si>
    <t>external document number, external doc no, external reference</t>
  </si>
  <si>
    <t>gl account number, account no, ledger account</t>
  </si>
  <si>
    <t>gl account name, account name, ledger account name</t>
  </si>
  <si>
    <t>description, gl description, transaction description</t>
  </si>
  <si>
    <t>fund number, fund no, funding source</t>
  </si>
  <si>
    <t>department code, dept code, department</t>
  </si>
  <si>
    <t>program code, program id, program</t>
  </si>
  <si>
    <t>debit amount, debit, debit value</t>
  </si>
  <si>
    <t>credit amount, credit, credit value</t>
  </si>
  <si>
    <t>balancing account type, bal account type, offset account type</t>
  </si>
  <si>
    <t>balancing account number, bal account no, offset account number</t>
  </si>
  <si>
    <t>source code, transaction source, origin code</t>
  </si>
  <si>
    <t>source name, transaction source name</t>
  </si>
  <si>
    <t>source type, source category, origin type</t>
  </si>
  <si>
    <t>source number, source no, origin number</t>
  </si>
  <si>
    <t>reason code, reason, adjustment reason</t>
  </si>
  <si>
    <t>reversed, reversal flag, is reversed</t>
  </si>
  <si>
    <t>reversed by entry, reversed by entry number</t>
  </si>
  <si>
    <t>reversed entry number, original reversed entry</t>
  </si>
  <si>
    <t>allocation code, allocation, distribution code</t>
  </si>
  <si>
    <t>parent source number, parent source no, parent transaction</t>
  </si>
  <si>
    <t>entry number, gl entry number, ledger entry id</t>
  </si>
  <si>
    <t>restricted code, restriction code, restricted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</si>
</sst>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BBB9E5-BC6B-4435-A78F-A145A007375F}" name="Table1" displayName="Table1" ref="A1:G127" totalsRowShown="0" headerRowDxfId="0">
  <autoFilter ref="A1:G127" xr:uid="{1FBBB9E5-BC6B-4435-A78F-A145A007375F}"/>
  <tableColumns count="7">
    <tableColumn id="1" xr3:uid="{ABD1B88C-A9A5-4836-83ED-5F8791F0965E}" name="Common">
      <calculatedColumnFormula>SUBSTITUTE(C2, C2, "G/L" &amp; " " &amp; B2)</calculatedColumnFormula>
    </tableColumn>
    <tableColumn id="2" xr3:uid="{475B8066-B3CE-48CC-9755-4282DDD295DA}" name="Keyword / Search Term"/>
    <tableColumn id="3" xr3:uid="{2C583DDD-32C9-4ACF-B07E-F931EE3A8623}" name="Database/Report Location"/>
    <tableColumn id="4" xr3:uid="{4F61EF44-CE83-4161-8183-96EFEB4F6542}" name="Full Information Key">
      <calculatedColumnFormula>C2 &amp; " - " &amp; B2</calculatedColumnFormula>
    </tableColumn>
    <tableColumn id="7" xr3:uid="{222040FB-CD8A-402B-A56E-7EED8563235C}" name="Entity Type"/>
    <tableColumn id="8" xr3:uid="{BC8EDDA3-2894-44D7-9E9E-EC6AC5F096A9}" name="Canonical Field"/>
    <tableColumn id="10" xr3:uid="{FEB70D51-A9BD-47A9-AC8E-73EEBC937BF6}" name="Synonyms / Ask Phra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C070E-2C5B-43D7-B24C-151DB3C288C8}">
  <sheetPr codeName="Sheet1"/>
  <dimension ref="A1:G127"/>
  <sheetViews>
    <sheetView tabSelected="1" zoomScaleNormal="100" workbookViewId="0">
      <selection activeCell="C7" sqref="C7"/>
    </sheetView>
  </sheetViews>
  <sheetFormatPr defaultRowHeight="15" x14ac:dyDescent="0.25"/>
  <cols>
    <col min="1" max="1" width="40.140625" bestFit="1" customWidth="1"/>
    <col min="2" max="2" width="35.7109375" bestFit="1" customWidth="1"/>
    <col min="3" max="3" width="33.5703125" bestFit="1" customWidth="1"/>
    <col min="4" max="4" width="43.140625" bestFit="1" customWidth="1"/>
    <col min="5" max="5" width="15.85546875" bestFit="1" customWidth="1"/>
    <col min="6" max="6" width="30" bestFit="1" customWidth="1"/>
    <col min="7" max="7" width="86.42578125" bestFit="1" customWidth="1"/>
  </cols>
  <sheetData>
    <row r="1" spans="1:7" ht="18.75" x14ac:dyDescent="0.3">
      <c r="A1" s="1" t="s">
        <v>91</v>
      </c>
      <c r="B1" s="1" t="s">
        <v>2</v>
      </c>
      <c r="C1" s="1" t="s">
        <v>0</v>
      </c>
      <c r="D1" s="1" t="s">
        <v>98</v>
      </c>
      <c r="E1" s="1" t="s">
        <v>103</v>
      </c>
      <c r="F1" s="1" t="s">
        <v>104</v>
      </c>
      <c r="G1" s="1" t="s">
        <v>105</v>
      </c>
    </row>
    <row r="2" spans="1:7" x14ac:dyDescent="0.25">
      <c r="A2" t="s">
        <v>3</v>
      </c>
      <c r="B2" t="s">
        <v>4</v>
      </c>
      <c r="C2" t="s">
        <v>1</v>
      </c>
      <c r="D2" t="str">
        <f>C2 &amp; " - " &amp; B2</f>
        <v>Agencies - No.</v>
      </c>
      <c r="E2" t="s">
        <v>106</v>
      </c>
      <c r="F2" t="s">
        <v>107</v>
      </c>
      <c r="G2" t="s">
        <v>237</v>
      </c>
    </row>
    <row r="3" spans="1:7" x14ac:dyDescent="0.25">
      <c r="A3" t="str">
        <f>SUBSTITUTE(C3, "Agencies", "Agency" &amp; " " &amp; B3)</f>
        <v>Agency Name</v>
      </c>
      <c r="B3" t="s">
        <v>5</v>
      </c>
      <c r="C3" t="s">
        <v>1</v>
      </c>
      <c r="D3" t="str">
        <f>C3 &amp; " - " &amp; B3</f>
        <v>Agencies - Name</v>
      </c>
      <c r="E3" t="s">
        <v>106</v>
      </c>
      <c r="F3" t="s">
        <v>108</v>
      </c>
      <c r="G3" t="s">
        <v>238</v>
      </c>
    </row>
    <row r="4" spans="1:7" x14ac:dyDescent="0.25">
      <c r="A4" t="str">
        <f>SUBSTITUTE(C4, "Agencies", "Agency" &amp; " " &amp; B4)</f>
        <v>Agency Address</v>
      </c>
      <c r="B4" t="s">
        <v>6</v>
      </c>
      <c r="C4" t="s">
        <v>1</v>
      </c>
      <c r="D4" t="str">
        <f>C4 &amp; " - " &amp; B4</f>
        <v>Agencies - Address</v>
      </c>
      <c r="E4" t="s">
        <v>106</v>
      </c>
      <c r="F4" t="s">
        <v>109</v>
      </c>
      <c r="G4" t="s">
        <v>239</v>
      </c>
    </row>
    <row r="5" spans="1:7" x14ac:dyDescent="0.25">
      <c r="A5" t="str">
        <f>SUBSTITUTE(C5, "Agencies", "Agency" &amp; " " &amp; B5)</f>
        <v>Agency City</v>
      </c>
      <c r="B5" t="s">
        <v>7</v>
      </c>
      <c r="C5" t="s">
        <v>1</v>
      </c>
      <c r="D5" t="str">
        <f>C5 &amp; " - " &amp; B5</f>
        <v>Agencies - City</v>
      </c>
      <c r="E5" t="s">
        <v>106</v>
      </c>
      <c r="F5" t="s">
        <v>110</v>
      </c>
      <c r="G5" t="s">
        <v>240</v>
      </c>
    </row>
    <row r="6" spans="1:7" x14ac:dyDescent="0.25">
      <c r="A6" t="str">
        <f>SUBSTITUTE(C6, "Agencies", "Agency" &amp; " " &amp; B6)</f>
        <v>Agency State</v>
      </c>
      <c r="B6" t="s">
        <v>23</v>
      </c>
      <c r="C6" t="s">
        <v>1</v>
      </c>
      <c r="D6" t="str">
        <f>C6 &amp; " - " &amp; B6</f>
        <v>Agencies - State</v>
      </c>
      <c r="E6" t="s">
        <v>106</v>
      </c>
      <c r="F6" t="s">
        <v>111</v>
      </c>
      <c r="G6" t="s">
        <v>241</v>
      </c>
    </row>
    <row r="7" spans="1:7" x14ac:dyDescent="0.25">
      <c r="A7" t="str">
        <f>SUBSTITUTE(C7, "Agencies", "Agency" &amp; " " &amp; B7)</f>
        <v>Agency ZIP Code</v>
      </c>
      <c r="B7" t="s">
        <v>22</v>
      </c>
      <c r="C7" t="s">
        <v>1</v>
      </c>
      <c r="D7" t="str">
        <f>C7 &amp; " - " &amp; B7</f>
        <v>Agencies - ZIP Code</v>
      </c>
      <c r="E7" t="s">
        <v>106</v>
      </c>
      <c r="F7" t="s">
        <v>117</v>
      </c>
      <c r="G7" t="s">
        <v>242</v>
      </c>
    </row>
    <row r="8" spans="1:7" x14ac:dyDescent="0.25">
      <c r="A8" t="str">
        <f>SUBSTITUTE(C8, "Agencies", "Agency" &amp; " " &amp; B8)</f>
        <v>Agency Location Code</v>
      </c>
      <c r="B8" t="s">
        <v>20</v>
      </c>
      <c r="C8" t="s">
        <v>1</v>
      </c>
      <c r="D8" t="str">
        <f>C8 &amp; " - " &amp; B8</f>
        <v>Agencies - Location Code</v>
      </c>
      <c r="E8" t="s">
        <v>106</v>
      </c>
      <c r="F8" t="s">
        <v>118</v>
      </c>
      <c r="G8" t="s">
        <v>243</v>
      </c>
    </row>
    <row r="9" spans="1:7" x14ac:dyDescent="0.25">
      <c r="A9" t="str">
        <f>SUBSTITUTE(C9, "Agencies", "Agency" &amp; " " &amp; B9)</f>
        <v>Agency Phone No.</v>
      </c>
      <c r="B9" t="s">
        <v>9</v>
      </c>
      <c r="C9" t="s">
        <v>1</v>
      </c>
      <c r="D9" t="str">
        <f>C9 &amp; " - " &amp; B9</f>
        <v>Agencies - Phone No.</v>
      </c>
      <c r="E9" t="s">
        <v>106</v>
      </c>
      <c r="F9" t="s">
        <v>138</v>
      </c>
      <c r="G9" t="s">
        <v>244</v>
      </c>
    </row>
    <row r="10" spans="1:7" x14ac:dyDescent="0.25">
      <c r="A10" t="str">
        <f>SUBSTITUTE(C10, "Agencies", "Agency" &amp; " " &amp; B10)</f>
        <v>Agency Department Code</v>
      </c>
      <c r="B10" t="s">
        <v>10</v>
      </c>
      <c r="C10" t="s">
        <v>1</v>
      </c>
      <c r="D10" t="str">
        <f>C10 &amp; " - " &amp; B10</f>
        <v>Agencies - Department Code</v>
      </c>
      <c r="E10" t="s">
        <v>106</v>
      </c>
      <c r="F10" t="s">
        <v>132</v>
      </c>
      <c r="G10" t="s">
        <v>245</v>
      </c>
    </row>
    <row r="11" spans="1:7" x14ac:dyDescent="0.25">
      <c r="A11" t="str">
        <f>SUBSTITUTE(C11, "Agencies", "Agency" &amp; " " &amp; B11)</f>
        <v>Agency Program Code</v>
      </c>
      <c r="B11" t="s">
        <v>11</v>
      </c>
      <c r="C11" t="s">
        <v>1</v>
      </c>
      <c r="D11" t="str">
        <f>C11 &amp; " - " &amp; B11</f>
        <v>Agencies - Program Code</v>
      </c>
      <c r="E11" t="s">
        <v>106</v>
      </c>
      <c r="F11" t="s">
        <v>133</v>
      </c>
      <c r="G11" t="s">
        <v>246</v>
      </c>
    </row>
    <row r="12" spans="1:7" x14ac:dyDescent="0.25">
      <c r="A12" t="str">
        <f>SUBSTITUTE(C12, "Agencies", "Agency" &amp; " " &amp; B12)</f>
        <v>Agency Email</v>
      </c>
      <c r="B12" t="s">
        <v>26</v>
      </c>
      <c r="C12" t="s">
        <v>1</v>
      </c>
      <c r="D12" t="str">
        <f>C12 &amp; " - " &amp; B12</f>
        <v>Agencies - Email</v>
      </c>
      <c r="E12" t="s">
        <v>106</v>
      </c>
      <c r="F12" t="s">
        <v>112</v>
      </c>
      <c r="G12" t="s">
        <v>247</v>
      </c>
    </row>
    <row r="13" spans="1:7" x14ac:dyDescent="0.25">
      <c r="A13" t="s">
        <v>100</v>
      </c>
      <c r="B13" t="s">
        <v>28</v>
      </c>
      <c r="C13" t="s">
        <v>1</v>
      </c>
      <c r="D13" t="str">
        <f>C13 &amp; " - " &amp; B13</f>
        <v>Agencies - Parent Agency No.</v>
      </c>
      <c r="E13" t="s">
        <v>106</v>
      </c>
      <c r="F13" t="s">
        <v>129</v>
      </c>
      <c r="G13" t="s">
        <v>248</v>
      </c>
    </row>
    <row r="14" spans="1:7" x14ac:dyDescent="0.25">
      <c r="A14" t="str">
        <f>SUBSTITUTE(C14, "Agencies", "Agency" &amp; " " &amp; B14)</f>
        <v>Agency Permit Web Orders</v>
      </c>
      <c r="B14" t="s">
        <v>34</v>
      </c>
      <c r="C14" t="s">
        <v>1</v>
      </c>
      <c r="D14" t="str">
        <f>C14 &amp; " - " &amp; B14</f>
        <v>Agencies - Permit Web Orders</v>
      </c>
      <c r="E14" t="s">
        <v>106</v>
      </c>
      <c r="F14" t="s">
        <v>119</v>
      </c>
      <c r="G14" t="s">
        <v>249</v>
      </c>
    </row>
    <row r="15" spans="1:7" x14ac:dyDescent="0.25">
      <c r="A15" t="s">
        <v>39</v>
      </c>
      <c r="B15" t="s">
        <v>39</v>
      </c>
      <c r="C15" t="s">
        <v>1</v>
      </c>
      <c r="D15" t="str">
        <f>C15 &amp; " - " &amp; B15</f>
        <v>Agencies - Agency Group Code</v>
      </c>
      <c r="E15" t="s">
        <v>106</v>
      </c>
      <c r="F15" t="s">
        <v>120</v>
      </c>
      <c r="G15" t="s">
        <v>250</v>
      </c>
    </row>
    <row r="16" spans="1:7" x14ac:dyDescent="0.25">
      <c r="A16" t="str">
        <f>SUBSTITUTE(C16, "Agencies", "Agency" &amp; " " &amp; B16)</f>
        <v>Agency Contact</v>
      </c>
      <c r="B16" t="s">
        <v>8</v>
      </c>
      <c r="C16" t="s">
        <v>1</v>
      </c>
      <c r="D16" t="str">
        <f>C16 &amp; " - " &amp; B16</f>
        <v>Agencies - Contact</v>
      </c>
      <c r="E16" t="s">
        <v>106</v>
      </c>
      <c r="F16" t="s">
        <v>113</v>
      </c>
      <c r="G16" t="s">
        <v>251</v>
      </c>
    </row>
    <row r="17" spans="1:7" x14ac:dyDescent="0.25">
      <c r="A17" t="str">
        <f>SUBSTITUTE(C17, "Agencies", "Agency" &amp; " " &amp; B17)</f>
        <v>Agency Shipment Method Code</v>
      </c>
      <c r="B17" t="s">
        <v>13</v>
      </c>
      <c r="C17" t="s">
        <v>1</v>
      </c>
      <c r="D17" t="str">
        <f>C17 &amp; " - " &amp; B17</f>
        <v>Agencies - Shipment Method Code</v>
      </c>
      <c r="E17" t="s">
        <v>106</v>
      </c>
      <c r="F17" t="s">
        <v>121</v>
      </c>
      <c r="G17" t="s">
        <v>252</v>
      </c>
    </row>
    <row r="18" spans="1:7" x14ac:dyDescent="0.25">
      <c r="A18" t="str">
        <f>SUBSTITUTE(C18, "Agencies", "Agency" &amp; " " &amp; B18)</f>
        <v>Agency Delivery Zone Code</v>
      </c>
      <c r="B18" t="s">
        <v>41</v>
      </c>
      <c r="C18" t="s">
        <v>1</v>
      </c>
      <c r="D18" t="str">
        <f>C18 &amp; " - " &amp; B18</f>
        <v>Agencies - Delivery Zone Code</v>
      </c>
      <c r="E18" t="s">
        <v>106</v>
      </c>
      <c r="F18" t="s">
        <v>122</v>
      </c>
      <c r="G18" t="s">
        <v>253</v>
      </c>
    </row>
    <row r="19" spans="1:7" x14ac:dyDescent="0.25">
      <c r="A19" t="str">
        <f>SUBSTITUTE(C19, "Agencies", "Agency" &amp; " " &amp; B19)</f>
        <v>Agency Monitoring Expiration Date</v>
      </c>
      <c r="B19" t="s">
        <v>38</v>
      </c>
      <c r="C19" t="s">
        <v>1</v>
      </c>
      <c r="D19" t="str">
        <f>C19 &amp; " - " &amp; B19</f>
        <v>Agencies - Monitoring Expiration Date</v>
      </c>
      <c r="E19" t="s">
        <v>106</v>
      </c>
      <c r="F19" t="s">
        <v>123</v>
      </c>
      <c r="G19" t="s">
        <v>254</v>
      </c>
    </row>
    <row r="20" spans="1:7" x14ac:dyDescent="0.25">
      <c r="A20" t="str">
        <f>SUBSTITUTE(C20, "Agencies", "Agency" &amp; " " &amp; B20)</f>
        <v>Agency Last Invoice Date</v>
      </c>
      <c r="B20" t="s">
        <v>46</v>
      </c>
      <c r="C20" t="s">
        <v>1</v>
      </c>
      <c r="D20" t="str">
        <f>C20 &amp; " - " &amp; B20</f>
        <v>Agencies - Last Invoice Date</v>
      </c>
      <c r="E20" t="s">
        <v>106</v>
      </c>
      <c r="F20" t="s">
        <v>124</v>
      </c>
      <c r="G20" t="s">
        <v>255</v>
      </c>
    </row>
    <row r="21" spans="1:7" x14ac:dyDescent="0.25">
      <c r="A21" t="str">
        <f>SUBSTITUTE(C21, "Agencies", "Agency" &amp; " " &amp; B21)</f>
        <v>Agency Fund No.</v>
      </c>
      <c r="B21" t="s">
        <v>40</v>
      </c>
      <c r="C21" t="s">
        <v>1</v>
      </c>
      <c r="D21" t="str">
        <f>C21 &amp; " - " &amp; B21</f>
        <v>Agencies - Fund No.</v>
      </c>
      <c r="E21" t="s">
        <v>106</v>
      </c>
      <c r="F21" t="s">
        <v>139</v>
      </c>
      <c r="G21" t="s">
        <v>256</v>
      </c>
    </row>
    <row r="22" spans="1:7" x14ac:dyDescent="0.25">
      <c r="A22" t="str">
        <f>SUBSTITUTE(C22, "Agencies", "Agency" &amp; " " &amp; B22)</f>
        <v>Agency Geographical Location Code</v>
      </c>
      <c r="B22" t="s">
        <v>29</v>
      </c>
      <c r="C22" t="s">
        <v>1</v>
      </c>
      <c r="D22" t="str">
        <f>C22 &amp; " - " &amp; B22</f>
        <v>Agencies - Geographical Location Code</v>
      </c>
      <c r="E22" t="s">
        <v>106</v>
      </c>
      <c r="F22" t="s">
        <v>134</v>
      </c>
      <c r="G22" t="s">
        <v>257</v>
      </c>
    </row>
    <row r="23" spans="1:7" x14ac:dyDescent="0.25">
      <c r="A23" t="str">
        <f>SUBSTITUTE(C23, "Agencies", "Agency" &amp; " " &amp; B23)</f>
        <v>Agency Metropolitan Area Code</v>
      </c>
      <c r="B23" t="s">
        <v>30</v>
      </c>
      <c r="C23" t="s">
        <v>1</v>
      </c>
      <c r="D23" t="str">
        <f>C23 &amp; " - " &amp; B23</f>
        <v>Agencies - Metropolitan Area Code</v>
      </c>
      <c r="E23" t="s">
        <v>106</v>
      </c>
      <c r="F23" t="s">
        <v>125</v>
      </c>
      <c r="G23" t="s">
        <v>258</v>
      </c>
    </row>
    <row r="24" spans="1:7" x14ac:dyDescent="0.25">
      <c r="A24" t="str">
        <f>SUBSTITUTE(C24, "Agencies", "Agency" &amp; " " &amp; B24)</f>
        <v>Agency Federal Congr. Dist. Code</v>
      </c>
      <c r="B24" t="s">
        <v>31</v>
      </c>
      <c r="C24" t="s">
        <v>1</v>
      </c>
      <c r="D24" t="str">
        <f>C24 &amp; " - " &amp; B24</f>
        <v>Agencies - Federal Congr. Dist. Code</v>
      </c>
      <c r="E24" t="s">
        <v>106</v>
      </c>
      <c r="F24" t="s">
        <v>131</v>
      </c>
      <c r="G24" t="s">
        <v>259</v>
      </c>
    </row>
    <row r="25" spans="1:7" x14ac:dyDescent="0.25">
      <c r="A25" t="str">
        <f>SUBSTITUTE(C25, "Agencies", "Agency" &amp; " " &amp; B25)</f>
        <v>Agency State Congr. Dist. Code</v>
      </c>
      <c r="B25" t="s">
        <v>32</v>
      </c>
      <c r="C25" t="s">
        <v>1</v>
      </c>
      <c r="D25" t="str">
        <f>C25 &amp; " - " &amp; B25</f>
        <v>Agencies - State Congr. Dist. Code</v>
      </c>
      <c r="E25" t="s">
        <v>106</v>
      </c>
      <c r="F25" t="s">
        <v>140</v>
      </c>
      <c r="G25" t="s">
        <v>260</v>
      </c>
    </row>
    <row r="26" spans="1:7" x14ac:dyDescent="0.25">
      <c r="A26" t="str">
        <f>SUBSTITUTE(C26, "Agencies", "Agency" &amp; " " &amp; B26)</f>
        <v>Agency Mobile Pantry</v>
      </c>
      <c r="B26" t="s">
        <v>43</v>
      </c>
      <c r="C26" t="s">
        <v>1</v>
      </c>
      <c r="D26" t="str">
        <f>C26 &amp; " - " &amp; B26</f>
        <v>Agencies - Mobile Pantry</v>
      </c>
      <c r="E26" t="s">
        <v>106</v>
      </c>
      <c r="F26" t="s">
        <v>135</v>
      </c>
      <c r="G26" t="s">
        <v>261</v>
      </c>
    </row>
    <row r="27" spans="1:7" x14ac:dyDescent="0.25">
      <c r="A27" t="str">
        <f>SUBSTITUTE(C27, "Agencies", "Agency" &amp; " " &amp; B27)</f>
        <v>Agency FBC Size Code</v>
      </c>
      <c r="B27" t="s">
        <v>42</v>
      </c>
      <c r="C27" t="s">
        <v>1</v>
      </c>
      <c r="D27" t="str">
        <f>C27 &amp; " - " &amp; B27</f>
        <v>Agencies - FBC Size Code</v>
      </c>
      <c r="E27" t="s">
        <v>106</v>
      </c>
      <c r="F27" t="s">
        <v>126</v>
      </c>
      <c r="G27" t="s">
        <v>262</v>
      </c>
    </row>
    <row r="28" spans="1:7" x14ac:dyDescent="0.25">
      <c r="A28" t="str">
        <f>SUBSTITUTE(C28, "Agencies", "Agency" &amp; " " &amp; B28)</f>
        <v>Agency FBC County Code</v>
      </c>
      <c r="B28" t="s">
        <v>33</v>
      </c>
      <c r="C28" t="s">
        <v>1</v>
      </c>
      <c r="D28" t="str">
        <f>C28 &amp; " - " &amp; B28</f>
        <v>Agencies - FBC County Code</v>
      </c>
      <c r="E28" t="s">
        <v>106</v>
      </c>
      <c r="F28" t="s">
        <v>127</v>
      </c>
      <c r="G28" t="s">
        <v>263</v>
      </c>
    </row>
    <row r="29" spans="1:7" x14ac:dyDescent="0.25">
      <c r="A29" t="s">
        <v>96</v>
      </c>
      <c r="B29" t="s">
        <v>36</v>
      </c>
      <c r="C29" t="s">
        <v>1</v>
      </c>
      <c r="D29" t="str">
        <f>C29 &amp; " - " &amp; B29</f>
        <v>Agencies - FBC Agency Category Code</v>
      </c>
      <c r="E29" t="s">
        <v>106</v>
      </c>
      <c r="F29" t="s">
        <v>136</v>
      </c>
      <c r="G29" t="s">
        <v>264</v>
      </c>
    </row>
    <row r="30" spans="1:7" x14ac:dyDescent="0.25">
      <c r="A30" t="str">
        <f>SUBSTITUTE(C30, "Agencies", "Agency" &amp; " " &amp; B30)</f>
        <v>Agency UNC Food Bank ID No.</v>
      </c>
      <c r="B30" t="s">
        <v>35</v>
      </c>
      <c r="C30" t="s">
        <v>1</v>
      </c>
      <c r="D30" t="str">
        <f>C30 &amp; " - " &amp; B30</f>
        <v>Agencies - UNC Food Bank ID No.</v>
      </c>
      <c r="E30" t="s">
        <v>106</v>
      </c>
      <c r="F30" t="s">
        <v>137</v>
      </c>
      <c r="G30" t="s">
        <v>265</v>
      </c>
    </row>
    <row r="31" spans="1:7" x14ac:dyDescent="0.25">
      <c r="A31" t="str">
        <f>SUBSTITUTE(C31, "Agencies", "Agency" &amp; " " &amp; B31)</f>
        <v>Agency UNC Activity Status</v>
      </c>
      <c r="B31" t="s">
        <v>37</v>
      </c>
      <c r="C31" t="s">
        <v>1</v>
      </c>
      <c r="D31" t="str">
        <f>C31 &amp; " - " &amp; B31</f>
        <v>Agencies - UNC Activity Status</v>
      </c>
      <c r="E31" t="s">
        <v>106</v>
      </c>
      <c r="F31" t="s">
        <v>128</v>
      </c>
      <c r="G31" t="s">
        <v>266</v>
      </c>
    </row>
    <row r="32" spans="1:7" x14ac:dyDescent="0.25">
      <c r="A32" t="str">
        <f>SUBSTITUTE(C32, "Agencies", "Agency" &amp; " " &amp; B32)</f>
        <v>Agency Balance ($)</v>
      </c>
      <c r="B32" t="s">
        <v>16</v>
      </c>
      <c r="C32" t="s">
        <v>1</v>
      </c>
      <c r="D32" t="str">
        <f>C32 &amp; " - " &amp; B32</f>
        <v>Agencies - Balance ($)</v>
      </c>
      <c r="E32" t="s">
        <v>106</v>
      </c>
      <c r="F32" t="s">
        <v>115</v>
      </c>
      <c r="G32" t="s">
        <v>267</v>
      </c>
    </row>
    <row r="33" spans="1:7" x14ac:dyDescent="0.25">
      <c r="A33" t="str">
        <f>SUBSTITUTE(C33, "Agencies", "Agency" &amp; " " &amp; B33)</f>
        <v>Agency Balance Due ($)</v>
      </c>
      <c r="B33" t="s">
        <v>18</v>
      </c>
      <c r="C33" t="s">
        <v>1</v>
      </c>
      <c r="D33" t="str">
        <f>C33 &amp; " - " &amp; B33</f>
        <v>Agencies - Balance Due ($)</v>
      </c>
      <c r="E33" t="s">
        <v>106</v>
      </c>
      <c r="F33" t="s">
        <v>130</v>
      </c>
      <c r="G33" t="s">
        <v>268</v>
      </c>
    </row>
    <row r="34" spans="1:7" x14ac:dyDescent="0.25">
      <c r="A34" t="str">
        <f>SUBSTITUTE(C34, "Agencies", "Agency" &amp; " " &amp; B34)</f>
        <v>Agency Fees ($)</v>
      </c>
      <c r="B34" t="s">
        <v>17</v>
      </c>
      <c r="C34" t="s">
        <v>1</v>
      </c>
      <c r="D34" t="str">
        <f>C34 &amp; " - " &amp; B34</f>
        <v>Agencies - Fees ($)</v>
      </c>
      <c r="E34" t="s">
        <v>106</v>
      </c>
      <c r="F34" t="s">
        <v>116</v>
      </c>
      <c r="G34" t="s">
        <v>269</v>
      </c>
    </row>
    <row r="35" spans="1:7" x14ac:dyDescent="0.25">
      <c r="A35" t="str">
        <f>SUBSTITUTE(C35, "Agencies", "Agency" &amp; " " &amp; B35)</f>
        <v>Agency Payments ($)</v>
      </c>
      <c r="B35" t="s">
        <v>19</v>
      </c>
      <c r="C35" t="s">
        <v>1</v>
      </c>
      <c r="D35" t="str">
        <f>C35 &amp; " - " &amp; B35</f>
        <v>Agencies - Payments ($)</v>
      </c>
      <c r="E35" t="s">
        <v>106</v>
      </c>
      <c r="F35" t="s">
        <v>114</v>
      </c>
      <c r="G35" t="s">
        <v>270</v>
      </c>
    </row>
    <row r="36" spans="1:7" x14ac:dyDescent="0.25">
      <c r="A36" t="s">
        <v>97</v>
      </c>
      <c r="B36" t="s">
        <v>4</v>
      </c>
      <c r="C36" t="s">
        <v>93</v>
      </c>
      <c r="D36" t="str">
        <f>C36 &amp; " - " &amp; B36</f>
        <v>Donors - No.</v>
      </c>
      <c r="E36" t="s">
        <v>168</v>
      </c>
      <c r="F36" t="s">
        <v>141</v>
      </c>
      <c r="G36" t="s">
        <v>271</v>
      </c>
    </row>
    <row r="37" spans="1:7" x14ac:dyDescent="0.25">
      <c r="A37" t="str">
        <f>SUBSTITUTE(C37,"Donors", "Donor" &amp; " " &amp; B37)</f>
        <v>Donor Name</v>
      </c>
      <c r="B37" t="s">
        <v>5</v>
      </c>
      <c r="C37" t="s">
        <v>93</v>
      </c>
      <c r="D37" t="str">
        <f>C37 &amp; " - " &amp; B37</f>
        <v>Donors - Name</v>
      </c>
      <c r="E37" t="s">
        <v>168</v>
      </c>
      <c r="F37" t="s">
        <v>142</v>
      </c>
      <c r="G37" t="s">
        <v>272</v>
      </c>
    </row>
    <row r="38" spans="1:7" x14ac:dyDescent="0.25">
      <c r="A38" t="str">
        <f>SUBSTITUTE(C38,"Donors", "Donor" &amp; " " &amp; B38)</f>
        <v>Donor Address</v>
      </c>
      <c r="B38" t="s">
        <v>6</v>
      </c>
      <c r="C38" t="s">
        <v>93</v>
      </c>
      <c r="D38" t="str">
        <f>C38 &amp; " - " &amp; B38</f>
        <v>Donors - Address</v>
      </c>
      <c r="E38" t="s">
        <v>168</v>
      </c>
      <c r="F38" t="s">
        <v>143</v>
      </c>
      <c r="G38" t="s">
        <v>273</v>
      </c>
    </row>
    <row r="39" spans="1:7" x14ac:dyDescent="0.25">
      <c r="A39" t="str">
        <f>SUBSTITUTE(C39,"Donors", "Donor" &amp; " " &amp; B39)</f>
        <v>Donor City</v>
      </c>
      <c r="B39" t="s">
        <v>7</v>
      </c>
      <c r="C39" t="s">
        <v>93</v>
      </c>
      <c r="D39" t="str">
        <f>C39 &amp; " - " &amp; B39</f>
        <v>Donors - City</v>
      </c>
      <c r="E39" t="s">
        <v>168</v>
      </c>
      <c r="F39" t="s">
        <v>144</v>
      </c>
      <c r="G39" t="s">
        <v>274</v>
      </c>
    </row>
    <row r="40" spans="1:7" x14ac:dyDescent="0.25">
      <c r="A40" t="str">
        <f>SUBSTITUTE(C40,"Donors", "Donor" &amp; " " &amp; B40)</f>
        <v>Donor State</v>
      </c>
      <c r="B40" t="s">
        <v>23</v>
      </c>
      <c r="C40" t="s">
        <v>93</v>
      </c>
      <c r="D40" t="str">
        <f>C40 &amp; " - " &amp; B40</f>
        <v>Donors - State</v>
      </c>
      <c r="E40" t="s">
        <v>168</v>
      </c>
      <c r="F40" t="s">
        <v>145</v>
      </c>
      <c r="G40" t="s">
        <v>275</v>
      </c>
    </row>
    <row r="41" spans="1:7" x14ac:dyDescent="0.25">
      <c r="A41" t="str">
        <f>SUBSTITUTE(C41,"Donors", "Donor" &amp; " " &amp; B41)</f>
        <v>Donor ZIP Code</v>
      </c>
      <c r="B41" t="s">
        <v>22</v>
      </c>
      <c r="C41" t="s">
        <v>93</v>
      </c>
      <c r="D41" t="str">
        <f>C41 &amp; " - " &amp; B41</f>
        <v>Donors - ZIP Code</v>
      </c>
      <c r="E41" t="s">
        <v>168</v>
      </c>
      <c r="F41" t="s">
        <v>146</v>
      </c>
      <c r="G41" t="s">
        <v>276</v>
      </c>
    </row>
    <row r="42" spans="1:7" x14ac:dyDescent="0.25">
      <c r="A42" t="str">
        <f>SUBSTITUTE(C42,"Donors", "Donor" &amp; " " &amp; B42)</f>
        <v>Donor Contact</v>
      </c>
      <c r="B42" t="s">
        <v>8</v>
      </c>
      <c r="C42" t="s">
        <v>93</v>
      </c>
      <c r="D42" t="str">
        <f>C42 &amp; " - " &amp; B42</f>
        <v>Donors - Contact</v>
      </c>
      <c r="E42" t="s">
        <v>168</v>
      </c>
      <c r="F42" t="s">
        <v>147</v>
      </c>
      <c r="G42" t="s">
        <v>277</v>
      </c>
    </row>
    <row r="43" spans="1:7" x14ac:dyDescent="0.25">
      <c r="A43" t="str">
        <f>SUBSTITUTE(C43,"Donors", "Donor" &amp; " " &amp; B43)</f>
        <v>Donor Phone No.</v>
      </c>
      <c r="B43" t="s">
        <v>9</v>
      </c>
      <c r="C43" t="s">
        <v>93</v>
      </c>
      <c r="D43" t="str">
        <f>C43 &amp; " - " &amp; B43</f>
        <v>Donors - Phone No.</v>
      </c>
      <c r="E43" t="s">
        <v>168</v>
      </c>
      <c r="F43" t="s">
        <v>148</v>
      </c>
      <c r="G43" t="s">
        <v>278</v>
      </c>
    </row>
    <row r="44" spans="1:7" x14ac:dyDescent="0.25">
      <c r="A44" t="str">
        <f>SUBSTITUTE(C44,"Donors", "Donor" &amp; " " &amp; B44)</f>
        <v>Donor Phone Ext. No.</v>
      </c>
      <c r="B44" t="s">
        <v>45</v>
      </c>
      <c r="C44" t="s">
        <v>93</v>
      </c>
      <c r="D44" t="str">
        <f>C44 &amp; " - " &amp; B44</f>
        <v>Donors - Phone Ext. No.</v>
      </c>
      <c r="E44" t="s">
        <v>168</v>
      </c>
      <c r="F44" t="s">
        <v>149</v>
      </c>
      <c r="G44" t="s">
        <v>279</v>
      </c>
    </row>
    <row r="45" spans="1:7" x14ac:dyDescent="0.25">
      <c r="A45" t="str">
        <f>SUBSTITUTE(C45,"Donors", "Donor" &amp; " " &amp; B45)</f>
        <v>Donor Fax No.</v>
      </c>
      <c r="B45" t="s">
        <v>21</v>
      </c>
      <c r="C45" t="s">
        <v>93</v>
      </c>
      <c r="D45" t="str">
        <f>C45 &amp; " - " &amp; B45</f>
        <v>Donors - Fax No.</v>
      </c>
      <c r="E45" t="s">
        <v>168</v>
      </c>
      <c r="F45" t="s">
        <v>150</v>
      </c>
      <c r="G45" t="s">
        <v>280</v>
      </c>
    </row>
    <row r="46" spans="1:7" x14ac:dyDescent="0.25">
      <c r="A46" t="str">
        <f>SUBSTITUTE(C46,"Donors", "Donor" &amp; " " &amp; B46)</f>
        <v>Donor Email</v>
      </c>
      <c r="B46" t="s">
        <v>26</v>
      </c>
      <c r="C46" t="s">
        <v>93</v>
      </c>
      <c r="D46" t="str">
        <f>C46 &amp; " - " &amp; B46</f>
        <v>Donors - Email</v>
      </c>
      <c r="E46" t="s">
        <v>168</v>
      </c>
      <c r="F46" t="s">
        <v>151</v>
      </c>
      <c r="G46" t="s">
        <v>281</v>
      </c>
    </row>
    <row r="47" spans="1:7" x14ac:dyDescent="0.25">
      <c r="A47" t="str">
        <f>SUBSTITUTE(C47,"Donors", "Donor" &amp; " " &amp; B47)</f>
        <v>Donor Last Invoice Date</v>
      </c>
      <c r="B47" t="s">
        <v>46</v>
      </c>
      <c r="C47" t="s">
        <v>93</v>
      </c>
      <c r="D47" t="str">
        <f>C47 &amp; " - " &amp; B47</f>
        <v>Donors - Last Invoice Date</v>
      </c>
      <c r="E47" t="s">
        <v>168</v>
      </c>
      <c r="F47" t="s">
        <v>152</v>
      </c>
      <c r="G47" t="s">
        <v>255</v>
      </c>
    </row>
    <row r="48" spans="1:7" x14ac:dyDescent="0.25">
      <c r="A48" t="s">
        <v>101</v>
      </c>
      <c r="B48" t="s">
        <v>92</v>
      </c>
      <c r="C48" t="s">
        <v>93</v>
      </c>
      <c r="D48" t="str">
        <f>C48 &amp; " - " &amp; B48</f>
        <v>Donors - Parent Donor No.</v>
      </c>
      <c r="E48" t="s">
        <v>168</v>
      </c>
      <c r="F48" t="s">
        <v>153</v>
      </c>
      <c r="G48" t="s">
        <v>282</v>
      </c>
    </row>
    <row r="49" spans="1:7" x14ac:dyDescent="0.25">
      <c r="A49" t="str">
        <f>SUBSTITUTE(C49,"Donors", "Donor" &amp; " " &amp; B49)</f>
        <v>Donor Location Code</v>
      </c>
      <c r="B49" t="s">
        <v>20</v>
      </c>
      <c r="C49" t="s">
        <v>93</v>
      </c>
      <c r="D49" t="str">
        <f>C49 &amp; " - " &amp; B49</f>
        <v>Donors - Location Code</v>
      </c>
      <c r="E49" t="s">
        <v>168</v>
      </c>
      <c r="F49" t="s">
        <v>154</v>
      </c>
      <c r="G49" t="s">
        <v>283</v>
      </c>
    </row>
    <row r="50" spans="1:7" x14ac:dyDescent="0.25">
      <c r="A50" t="s">
        <v>99</v>
      </c>
      <c r="B50" t="s">
        <v>66</v>
      </c>
      <c r="C50" t="s">
        <v>93</v>
      </c>
      <c r="D50" t="str">
        <f>C50 &amp; " - " &amp; B50</f>
        <v>Donors - FBC Donor Class of Trade Code</v>
      </c>
      <c r="E50" t="s">
        <v>168</v>
      </c>
      <c r="F50" t="s">
        <v>155</v>
      </c>
      <c r="G50" t="s">
        <v>284</v>
      </c>
    </row>
    <row r="51" spans="1:7" x14ac:dyDescent="0.25">
      <c r="A51" t="str">
        <f>SUBSTITUTE(C51,"Donors", "Donor" &amp; " " &amp; B51)</f>
        <v>Donor FBC Product Source Code</v>
      </c>
      <c r="B51" t="s">
        <v>67</v>
      </c>
      <c r="C51" t="s">
        <v>93</v>
      </c>
      <c r="D51" t="str">
        <f>C51 &amp; " - " &amp; B51</f>
        <v>Donors - FBC Product Source Code</v>
      </c>
      <c r="E51" t="s">
        <v>168</v>
      </c>
      <c r="F51" t="s">
        <v>156</v>
      </c>
      <c r="G51" t="s">
        <v>285</v>
      </c>
    </row>
    <row r="52" spans="1:7" x14ac:dyDescent="0.25">
      <c r="A52" t="str">
        <f>SUBSTITUTE(C52,"Donors", "Donor" &amp; " " &amp; B52)</f>
        <v>Donor FBC Product Category Code</v>
      </c>
      <c r="B52" t="s">
        <v>59</v>
      </c>
      <c r="C52" t="s">
        <v>93</v>
      </c>
      <c r="D52" t="str">
        <f>C52 &amp; " - " &amp; B52</f>
        <v>Donors - FBC Product Category Code</v>
      </c>
      <c r="E52" t="s">
        <v>168</v>
      </c>
      <c r="F52" t="s">
        <v>157</v>
      </c>
      <c r="G52" t="s">
        <v>286</v>
      </c>
    </row>
    <row r="53" spans="1:7" x14ac:dyDescent="0.25">
      <c r="A53" t="str">
        <f>SUBSTITUTE(C53,"Donors", "Donor" &amp; " " &amp; B53)</f>
        <v>Donor FBC County Code</v>
      </c>
      <c r="B53" t="s">
        <v>33</v>
      </c>
      <c r="C53" t="s">
        <v>93</v>
      </c>
      <c r="D53" t="str">
        <f>C53 &amp; " - " &amp; B53</f>
        <v>Donors - FBC County Code</v>
      </c>
      <c r="E53" t="s">
        <v>168</v>
      </c>
      <c r="F53" t="s">
        <v>158</v>
      </c>
      <c r="G53" t="s">
        <v>287</v>
      </c>
    </row>
    <row r="54" spans="1:7" x14ac:dyDescent="0.25">
      <c r="A54" t="s">
        <v>68</v>
      </c>
      <c r="B54" t="s">
        <v>68</v>
      </c>
      <c r="C54" t="s">
        <v>93</v>
      </c>
      <c r="D54" t="str">
        <f>C54 &amp; " - " &amp; B54</f>
        <v>Donors - Food Drive Donor</v>
      </c>
      <c r="E54" t="s">
        <v>168</v>
      </c>
      <c r="F54" t="s">
        <v>159</v>
      </c>
      <c r="G54" t="s">
        <v>288</v>
      </c>
    </row>
    <row r="55" spans="1:7" x14ac:dyDescent="0.25">
      <c r="A55" t="str">
        <f>SUBSTITUTE(C55,"Donors", "Donor" &amp; " " &amp; B55)</f>
        <v>Donor Dormant</v>
      </c>
      <c r="B55" t="s">
        <v>44</v>
      </c>
      <c r="C55" t="s">
        <v>93</v>
      </c>
      <c r="D55" t="str">
        <f>C55 &amp; " - " &amp; B55</f>
        <v>Donors - Dormant</v>
      </c>
      <c r="E55" t="s">
        <v>168</v>
      </c>
      <c r="F55" t="s">
        <v>160</v>
      </c>
      <c r="G55" t="s">
        <v>289</v>
      </c>
    </row>
    <row r="56" spans="1:7" x14ac:dyDescent="0.25">
      <c r="A56" t="str">
        <f>SUBSTITUTE(C56,"Donors", "Donor" &amp; " " &amp; B56)</f>
        <v>Donor Blocked</v>
      </c>
      <c r="B56" t="s">
        <v>14</v>
      </c>
      <c r="C56" t="s">
        <v>93</v>
      </c>
      <c r="D56" t="str">
        <f>C56 &amp; " - " &amp; B56</f>
        <v>Donors - Blocked</v>
      </c>
      <c r="E56" t="s">
        <v>168</v>
      </c>
      <c r="F56" t="s">
        <v>161</v>
      </c>
      <c r="G56" t="s">
        <v>290</v>
      </c>
    </row>
    <row r="57" spans="1:7" x14ac:dyDescent="0.25">
      <c r="A57" t="str">
        <f>SUBSTITUTE(C57,"Donors", "Donor" &amp; " " &amp; B57)</f>
        <v>Donor Geographical Location Code</v>
      </c>
      <c r="B57" t="s">
        <v>29</v>
      </c>
      <c r="C57" t="s">
        <v>93</v>
      </c>
      <c r="D57" t="str">
        <f>C57 &amp; " - " &amp; B57</f>
        <v>Donors - Geographical Location Code</v>
      </c>
      <c r="E57" t="s">
        <v>168</v>
      </c>
      <c r="F57" t="s">
        <v>162</v>
      </c>
      <c r="G57" t="s">
        <v>291</v>
      </c>
    </row>
    <row r="58" spans="1:7" x14ac:dyDescent="0.25">
      <c r="A58" t="str">
        <f>SUBSTITUTE(C58,"Donors", "Donor" &amp; " " &amp; B58)</f>
        <v>Donor Metropolitan Area Code</v>
      </c>
      <c r="B58" t="s">
        <v>30</v>
      </c>
      <c r="C58" t="s">
        <v>93</v>
      </c>
      <c r="D58" t="str">
        <f>C58 &amp; " - " &amp; B58</f>
        <v>Donors - Metropolitan Area Code</v>
      </c>
      <c r="E58" t="s">
        <v>168</v>
      </c>
      <c r="F58" t="s">
        <v>163</v>
      </c>
      <c r="G58" t="s">
        <v>292</v>
      </c>
    </row>
    <row r="59" spans="1:7" x14ac:dyDescent="0.25">
      <c r="A59" t="str">
        <f>SUBSTITUTE(C59,"Donors", "Donor" &amp; " " &amp; B59)</f>
        <v>Donor Federal Congr. Dist. Code</v>
      </c>
      <c r="B59" t="s">
        <v>31</v>
      </c>
      <c r="C59" t="s">
        <v>93</v>
      </c>
      <c r="D59" t="str">
        <f>C59 &amp; " - " &amp; B59</f>
        <v>Donors - Federal Congr. Dist. Code</v>
      </c>
      <c r="E59" t="s">
        <v>168</v>
      </c>
      <c r="F59" t="s">
        <v>164</v>
      </c>
      <c r="G59" t="s">
        <v>293</v>
      </c>
    </row>
    <row r="60" spans="1:7" x14ac:dyDescent="0.25">
      <c r="A60" t="str">
        <f>SUBSTITUTE(C60,"Donors", "Donor" &amp; " " &amp; B60)</f>
        <v>Donor State Congr. Dist. Code</v>
      </c>
      <c r="B60" t="s">
        <v>32</v>
      </c>
      <c r="C60" t="s">
        <v>93</v>
      </c>
      <c r="D60" t="str">
        <f>C60 &amp; " - " &amp; B60</f>
        <v>Donors - State Congr. Dist. Code</v>
      </c>
      <c r="E60" t="s">
        <v>168</v>
      </c>
      <c r="F60" t="s">
        <v>165</v>
      </c>
      <c r="G60" t="s">
        <v>294</v>
      </c>
    </row>
    <row r="61" spans="1:7" x14ac:dyDescent="0.25">
      <c r="A61" t="s">
        <v>102</v>
      </c>
      <c r="B61" t="s">
        <v>4</v>
      </c>
      <c r="C61" t="s">
        <v>94</v>
      </c>
      <c r="D61" t="str">
        <f>C61 &amp; " - " &amp; B61</f>
        <v>Vendors - No.</v>
      </c>
      <c r="E61" t="s">
        <v>169</v>
      </c>
      <c r="F61" t="s">
        <v>166</v>
      </c>
      <c r="G61" t="s">
        <v>295</v>
      </c>
    </row>
    <row r="62" spans="1:7" x14ac:dyDescent="0.25">
      <c r="A62" t="str">
        <f>SUBSTITUTE(C62,C62, "Vendor") &amp; " " &amp; B62</f>
        <v>Vendor Name</v>
      </c>
      <c r="B62" t="s">
        <v>5</v>
      </c>
      <c r="C62" t="s">
        <v>94</v>
      </c>
      <c r="D62" t="str">
        <f>C62 &amp; " - " &amp; B62</f>
        <v>Vendors - Name</v>
      </c>
      <c r="E62" t="s">
        <v>169</v>
      </c>
      <c r="F62" t="s">
        <v>167</v>
      </c>
      <c r="G62" t="s">
        <v>296</v>
      </c>
    </row>
    <row r="63" spans="1:7" x14ac:dyDescent="0.25">
      <c r="A63" t="str">
        <f>SUBSTITUTE(C63,C63, "Vendor") &amp; " " &amp; B63</f>
        <v>Vendor ZIP Code</v>
      </c>
      <c r="B63" t="s">
        <v>22</v>
      </c>
      <c r="C63" t="s">
        <v>94</v>
      </c>
      <c r="D63" t="str">
        <f>C63 &amp; " - " &amp; B63</f>
        <v>Vendors - ZIP Code</v>
      </c>
      <c r="E63" t="s">
        <v>169</v>
      </c>
      <c r="F63" t="s">
        <v>172</v>
      </c>
      <c r="G63" t="s">
        <v>297</v>
      </c>
    </row>
    <row r="64" spans="1:7" x14ac:dyDescent="0.25">
      <c r="A64" t="str">
        <f>SUBSTITUTE(C64,C64, "Vendor") &amp; " " &amp; B64</f>
        <v>Vendor Address</v>
      </c>
      <c r="B64" t="s">
        <v>6</v>
      </c>
      <c r="C64" t="s">
        <v>94</v>
      </c>
      <c r="D64" t="str">
        <f>C64 &amp; " - " &amp; B64</f>
        <v>Vendors - Address</v>
      </c>
      <c r="E64" t="s">
        <v>169</v>
      </c>
      <c r="F64" t="s">
        <v>173</v>
      </c>
      <c r="G64" t="s">
        <v>298</v>
      </c>
    </row>
    <row r="65" spans="1:7" x14ac:dyDescent="0.25">
      <c r="A65" t="str">
        <f>SUBSTITUTE(C65,C65, "Vendor") &amp; " " &amp; B65</f>
        <v>Vendor City</v>
      </c>
      <c r="B65" t="s">
        <v>7</v>
      </c>
      <c r="C65" t="s">
        <v>94</v>
      </c>
      <c r="D65" t="str">
        <f>C65 &amp; " - " &amp; B65</f>
        <v>Vendors - City</v>
      </c>
      <c r="E65" t="s">
        <v>169</v>
      </c>
      <c r="F65" t="s">
        <v>174</v>
      </c>
      <c r="G65" t="s">
        <v>299</v>
      </c>
    </row>
    <row r="66" spans="1:7" x14ac:dyDescent="0.25">
      <c r="A66" t="str">
        <f>SUBSTITUTE(C66,C66, "Vendor") &amp; " " &amp; B66</f>
        <v>Vendor State</v>
      </c>
      <c r="B66" t="s">
        <v>23</v>
      </c>
      <c r="C66" t="s">
        <v>94</v>
      </c>
      <c r="D66" t="str">
        <f>C66 &amp; " - " &amp; B66</f>
        <v>Vendors - State</v>
      </c>
      <c r="E66" t="s">
        <v>169</v>
      </c>
      <c r="F66" t="s">
        <v>175</v>
      </c>
      <c r="G66" t="s">
        <v>300</v>
      </c>
    </row>
    <row r="67" spans="1:7" x14ac:dyDescent="0.25">
      <c r="A67" t="str">
        <f>SUBSTITUTE(C67,C67, "Vendor") &amp; " " &amp; B67</f>
        <v>Vendor Location Code</v>
      </c>
      <c r="B67" t="s">
        <v>20</v>
      </c>
      <c r="C67" t="s">
        <v>94</v>
      </c>
      <c r="D67" t="str">
        <f>C67 &amp; " - " &amp; B67</f>
        <v>Vendors - Location Code</v>
      </c>
      <c r="E67" t="s">
        <v>169</v>
      </c>
      <c r="F67" t="s">
        <v>176</v>
      </c>
      <c r="G67" t="s">
        <v>301</v>
      </c>
    </row>
    <row r="68" spans="1:7" x14ac:dyDescent="0.25">
      <c r="A68" t="str">
        <f>SUBSTITUTE(C68,C68, "Vendor") &amp; " " &amp; B68</f>
        <v>Vendor Last Invoice Date</v>
      </c>
      <c r="B68" t="s">
        <v>46</v>
      </c>
      <c r="C68" t="s">
        <v>94</v>
      </c>
      <c r="D68" t="str">
        <f>C68 &amp; " - " &amp; B68</f>
        <v>Vendors - Last Invoice Date</v>
      </c>
      <c r="E68" t="s">
        <v>169</v>
      </c>
      <c r="F68" t="s">
        <v>190</v>
      </c>
      <c r="G68" t="s">
        <v>255</v>
      </c>
    </row>
    <row r="69" spans="1:7" x14ac:dyDescent="0.25">
      <c r="A69" t="str">
        <f>SUBSTITUTE(C69,C69, "Vendor") &amp; " " &amp; B69</f>
        <v>Vendor Contact</v>
      </c>
      <c r="B69" t="s">
        <v>8</v>
      </c>
      <c r="C69" t="s">
        <v>94</v>
      </c>
      <c r="D69" t="str">
        <f>C69 &amp; " - " &amp; B69</f>
        <v>Vendors - Contact</v>
      </c>
      <c r="E69" t="s">
        <v>169</v>
      </c>
      <c r="F69" t="s">
        <v>177</v>
      </c>
      <c r="G69" t="s">
        <v>302</v>
      </c>
    </row>
    <row r="70" spans="1:7" x14ac:dyDescent="0.25">
      <c r="A70" t="str">
        <f>SUBSTITUTE(C70,C70, "Vendor") &amp; " " &amp; B70</f>
        <v>Vendor Phone No.</v>
      </c>
      <c r="B70" t="s">
        <v>9</v>
      </c>
      <c r="C70" t="s">
        <v>94</v>
      </c>
      <c r="D70" t="str">
        <f>C70 &amp; " - " &amp; B70</f>
        <v>Vendors - Phone No.</v>
      </c>
      <c r="E70" t="s">
        <v>169</v>
      </c>
      <c r="F70" t="s">
        <v>187</v>
      </c>
      <c r="G70" t="s">
        <v>303</v>
      </c>
    </row>
    <row r="71" spans="1:7" x14ac:dyDescent="0.25">
      <c r="A71" t="str">
        <f>SUBSTITUTE(C71,C71, "Vendor") &amp; " " &amp; B71</f>
        <v>Vendor Phone Ext. No.</v>
      </c>
      <c r="B71" t="s">
        <v>45</v>
      </c>
      <c r="C71" t="s">
        <v>94</v>
      </c>
      <c r="D71" t="str">
        <f>C71 &amp; " - " &amp; B71</f>
        <v>Vendors - Phone Ext. No.</v>
      </c>
      <c r="E71" t="s">
        <v>169</v>
      </c>
      <c r="F71" t="s">
        <v>189</v>
      </c>
      <c r="G71" t="s">
        <v>304</v>
      </c>
    </row>
    <row r="72" spans="1:7" x14ac:dyDescent="0.25">
      <c r="A72" t="str">
        <f>SUBSTITUTE(C72,C72, "Vendor") &amp; " " &amp; B72</f>
        <v>Vendor Email</v>
      </c>
      <c r="B72" t="s">
        <v>26</v>
      </c>
      <c r="C72" t="s">
        <v>94</v>
      </c>
      <c r="D72" t="str">
        <f>C72 &amp; " - " &amp; B72</f>
        <v>Vendors - Email</v>
      </c>
      <c r="E72" t="s">
        <v>169</v>
      </c>
      <c r="F72" t="s">
        <v>178</v>
      </c>
      <c r="G72" t="s">
        <v>305</v>
      </c>
    </row>
    <row r="73" spans="1:7" x14ac:dyDescent="0.25">
      <c r="A73" t="str">
        <f>SUBSTITUTE(C73,C73, "Vendor") &amp; " " &amp; B73</f>
        <v>Vendor Payment Terms Code</v>
      </c>
      <c r="B73" t="s">
        <v>12</v>
      </c>
      <c r="C73" t="s">
        <v>94</v>
      </c>
      <c r="D73" t="str">
        <f>C73 &amp; " - " &amp; B73</f>
        <v>Vendors - Payment Terms Code</v>
      </c>
      <c r="E73" t="s">
        <v>169</v>
      </c>
      <c r="F73" t="s">
        <v>193</v>
      </c>
      <c r="G73" t="s">
        <v>306</v>
      </c>
    </row>
    <row r="74" spans="1:7" x14ac:dyDescent="0.25">
      <c r="A74" t="str">
        <f>SUBSTITUTE(C74,C74, "Vendor") &amp; " " &amp; B74</f>
        <v>Vendor Last Date Modified</v>
      </c>
      <c r="B74" t="s">
        <v>15</v>
      </c>
      <c r="C74" t="s">
        <v>94</v>
      </c>
      <c r="D74" t="str">
        <f>C74 &amp; " - " &amp; B74</f>
        <v>Vendors - Last Date Modified</v>
      </c>
      <c r="E74" t="s">
        <v>169</v>
      </c>
      <c r="F74" t="s">
        <v>192</v>
      </c>
      <c r="G74" t="s">
        <v>307</v>
      </c>
    </row>
    <row r="75" spans="1:7" x14ac:dyDescent="0.25">
      <c r="A75" t="str">
        <f>SUBSTITUTE(C75,C75, "Vendor") &amp; " " &amp; B75</f>
        <v>Vendor Shipment Method Code</v>
      </c>
      <c r="B75" t="s">
        <v>13</v>
      </c>
      <c r="C75" t="s">
        <v>94</v>
      </c>
      <c r="D75" t="str">
        <f>C75 &amp; " - " &amp; B75</f>
        <v>Vendors - Shipment Method Code</v>
      </c>
      <c r="E75" t="s">
        <v>169</v>
      </c>
      <c r="F75" t="s">
        <v>194</v>
      </c>
      <c r="G75" t="s">
        <v>252</v>
      </c>
    </row>
    <row r="76" spans="1:7" x14ac:dyDescent="0.25">
      <c r="A76" t="str">
        <f>SUBSTITUTE(C76,C76, "Vendor") &amp; " " &amp; B76</f>
        <v>Vendor Dormant</v>
      </c>
      <c r="B76" t="s">
        <v>44</v>
      </c>
      <c r="C76" t="s">
        <v>94</v>
      </c>
      <c r="D76" t="str">
        <f>C76 &amp; " - " &amp; B76</f>
        <v>Vendors - Dormant</v>
      </c>
      <c r="E76" t="s">
        <v>169</v>
      </c>
      <c r="F76" t="s">
        <v>179</v>
      </c>
      <c r="G76" t="s">
        <v>308</v>
      </c>
    </row>
    <row r="77" spans="1:7" x14ac:dyDescent="0.25">
      <c r="A77" t="str">
        <f>SUBSTITUTE(C77,C77, "Vendor") &amp; " " &amp; B77</f>
        <v>Vendor Balance ($)</v>
      </c>
      <c r="B77" t="s">
        <v>16</v>
      </c>
      <c r="C77" t="s">
        <v>94</v>
      </c>
      <c r="D77" t="str">
        <f>C77 &amp; " - " &amp; B77</f>
        <v>Vendors - Balance ($)</v>
      </c>
      <c r="E77" t="s">
        <v>169</v>
      </c>
      <c r="F77" t="s">
        <v>188</v>
      </c>
      <c r="G77" t="s">
        <v>309</v>
      </c>
    </row>
    <row r="78" spans="1:7" x14ac:dyDescent="0.25">
      <c r="A78" t="str">
        <f>SUBSTITUTE(C78,C78, "Vendor") &amp; " " &amp; B78</f>
        <v>Vendor Balance Due ($)</v>
      </c>
      <c r="B78" t="s">
        <v>18</v>
      </c>
      <c r="C78" t="s">
        <v>94</v>
      </c>
      <c r="D78" t="str">
        <f>C78 &amp; " - " &amp; B78</f>
        <v>Vendors - Balance Due ($)</v>
      </c>
      <c r="E78" t="s">
        <v>169</v>
      </c>
      <c r="F78" t="s">
        <v>191</v>
      </c>
      <c r="G78" t="s">
        <v>268</v>
      </c>
    </row>
    <row r="79" spans="1:7" x14ac:dyDescent="0.25">
      <c r="A79" t="str">
        <f>SUBSTITUTE(C79,C79, "Vendor") &amp; " " &amp; B79</f>
        <v>Vendor Payments ($)</v>
      </c>
      <c r="B79" t="s">
        <v>19</v>
      </c>
      <c r="C79" t="s">
        <v>94</v>
      </c>
      <c r="D79" t="str">
        <f>C79 &amp; " - " &amp; B79</f>
        <v>Vendors - Payments ($)</v>
      </c>
      <c r="E79" t="s">
        <v>169</v>
      </c>
      <c r="F79" t="s">
        <v>200</v>
      </c>
      <c r="G79" t="s">
        <v>310</v>
      </c>
    </row>
    <row r="80" spans="1:7" x14ac:dyDescent="0.25">
      <c r="A80" t="s">
        <v>47</v>
      </c>
      <c r="B80" t="s">
        <v>27</v>
      </c>
      <c r="C80" t="s">
        <v>94</v>
      </c>
      <c r="D80" t="str">
        <f>C80 &amp; " - " &amp; B80</f>
        <v>Vendors - Coupled to Dataverse</v>
      </c>
      <c r="E80" t="s">
        <v>169</v>
      </c>
      <c r="F80" t="s">
        <v>236</v>
      </c>
    </row>
    <row r="81" spans="1:7" x14ac:dyDescent="0.25">
      <c r="A81" t="str">
        <f>SUBSTITUTE(C81,C81,"Item")&amp;" "&amp;B81</f>
        <v>Item FBC Product Classification</v>
      </c>
      <c r="B81" t="s">
        <v>60</v>
      </c>
      <c r="C81" t="s">
        <v>65</v>
      </c>
      <c r="D81" t="str">
        <f>C81 &amp; " - " &amp; B81</f>
        <v>Items - FBC Product Classification</v>
      </c>
      <c r="E81" t="s">
        <v>170</v>
      </c>
      <c r="F81" t="s">
        <v>195</v>
      </c>
      <c r="G81" t="s">
        <v>311</v>
      </c>
    </row>
    <row r="82" spans="1:7" x14ac:dyDescent="0.25">
      <c r="A82" t="str">
        <f>SUBSTITUTE(C82,C82,"Item")&amp;" "&amp;B82</f>
        <v>Item No.</v>
      </c>
      <c r="B82" t="s">
        <v>4</v>
      </c>
      <c r="C82" t="s">
        <v>65</v>
      </c>
      <c r="D82" t="str">
        <f>C82 &amp; " - " &amp; B82</f>
        <v>Items - No.</v>
      </c>
      <c r="E82" t="s">
        <v>170</v>
      </c>
      <c r="F82" t="s">
        <v>202</v>
      </c>
      <c r="G82" t="s">
        <v>312</v>
      </c>
    </row>
    <row r="83" spans="1:7" x14ac:dyDescent="0.25">
      <c r="A83" t="str">
        <f>SUBSTITUTE(C83,C83,"Item")&amp;" "&amp;B83</f>
        <v>Item Description</v>
      </c>
      <c r="B83" t="s">
        <v>48</v>
      </c>
      <c r="C83" t="s">
        <v>65</v>
      </c>
      <c r="D83" t="str">
        <f>C83 &amp; " - " &amp; B83</f>
        <v>Items - Description</v>
      </c>
      <c r="E83" t="s">
        <v>170</v>
      </c>
      <c r="F83" t="s">
        <v>203</v>
      </c>
      <c r="G83" t="s">
        <v>313</v>
      </c>
    </row>
    <row r="84" spans="1:7" x14ac:dyDescent="0.25">
      <c r="A84" t="str">
        <f>SUBSTITUTE(C84,C84,"Item")&amp;" "&amp;B84</f>
        <v>Item Pack Size</v>
      </c>
      <c r="B84" t="s">
        <v>55</v>
      </c>
      <c r="C84" t="s">
        <v>65</v>
      </c>
      <c r="D84" t="str">
        <f>C84 &amp; " - " &amp; B84</f>
        <v>Items - Pack Size</v>
      </c>
      <c r="E84" t="s">
        <v>170</v>
      </c>
      <c r="F84" t="s">
        <v>180</v>
      </c>
      <c r="G84" t="s">
        <v>314</v>
      </c>
    </row>
    <row r="85" spans="1:7" x14ac:dyDescent="0.25">
      <c r="A85" t="str">
        <f>SUBSTITUTE(C85,C85,"Item")&amp;" "&amp;B85</f>
        <v>Item Permit Web Orders</v>
      </c>
      <c r="B85" t="s">
        <v>34</v>
      </c>
      <c r="C85" t="s">
        <v>65</v>
      </c>
      <c r="D85" t="str">
        <f>C85 &amp; " - " &amp; B85</f>
        <v>Items - Permit Web Orders</v>
      </c>
      <c r="E85" t="s">
        <v>170</v>
      </c>
      <c r="F85" t="s">
        <v>196</v>
      </c>
      <c r="G85" t="s">
        <v>315</v>
      </c>
    </row>
    <row r="86" spans="1:7" x14ac:dyDescent="0.25">
      <c r="A86" t="str">
        <f>SUBSTITUTE(C86,C86,"Item")&amp;" "&amp;B86</f>
        <v>Item Shopping List</v>
      </c>
      <c r="B86" t="s">
        <v>61</v>
      </c>
      <c r="C86" t="s">
        <v>65</v>
      </c>
      <c r="D86" t="str">
        <f>C86 &amp; " - " &amp; B86</f>
        <v>Items - Shopping List</v>
      </c>
      <c r="E86" t="s">
        <v>170</v>
      </c>
      <c r="F86" t="s">
        <v>181</v>
      </c>
      <c r="G86" t="s">
        <v>316</v>
      </c>
    </row>
    <row r="87" spans="1:7" x14ac:dyDescent="0.25">
      <c r="A87" t="str">
        <f>SUBSTITUTE(C87,C87,"Item")&amp;" "&amp;B87</f>
        <v>Item Quantity on Hand</v>
      </c>
      <c r="B87" t="s">
        <v>54</v>
      </c>
      <c r="C87" t="s">
        <v>65</v>
      </c>
      <c r="D87" t="str">
        <f>C87 &amp; " - " &amp; B87</f>
        <v>Items - Quantity on Hand</v>
      </c>
      <c r="E87" t="s">
        <v>170</v>
      </c>
      <c r="F87" t="s">
        <v>197</v>
      </c>
      <c r="G87" t="s">
        <v>317</v>
      </c>
    </row>
    <row r="88" spans="1:7" x14ac:dyDescent="0.25">
      <c r="A88" t="str">
        <f>SUBSTITUTE(C88,C88,"Item")&amp;" "&amp;B88</f>
        <v>Item Qty. on Sales Order</v>
      </c>
      <c r="B88" t="s">
        <v>64</v>
      </c>
      <c r="C88" t="s">
        <v>65</v>
      </c>
      <c r="D88" t="str">
        <f>C88 &amp; " - " &amp; B88</f>
        <v>Items - Qty. on Sales Order</v>
      </c>
      <c r="E88" t="s">
        <v>170</v>
      </c>
      <c r="F88" t="s">
        <v>204</v>
      </c>
      <c r="G88" t="s">
        <v>318</v>
      </c>
    </row>
    <row r="89" spans="1:7" x14ac:dyDescent="0.25">
      <c r="A89" t="str">
        <f>SUBSTITUTE(C89,C89,"Item")&amp;" "&amp;B89</f>
        <v>Item Qty. on Hand less Qty. on Agency Order</v>
      </c>
      <c r="B89" t="s">
        <v>95</v>
      </c>
      <c r="C89" t="s">
        <v>65</v>
      </c>
      <c r="D89" t="str">
        <f>C89 &amp; " - " &amp; B89</f>
        <v>Items - Qty. on Hand less Qty. on Agency Order</v>
      </c>
      <c r="E89" t="s">
        <v>170</v>
      </c>
      <c r="F89" t="s">
        <v>205</v>
      </c>
      <c r="G89" t="s">
        <v>319</v>
      </c>
    </row>
    <row r="90" spans="1:7" x14ac:dyDescent="0.25">
      <c r="A90" t="str">
        <f>SUBSTITUTE(C90,C90,"Item")&amp;" "&amp;B90</f>
        <v>Item Base Unit of Measure</v>
      </c>
      <c r="B90" t="s">
        <v>49</v>
      </c>
      <c r="C90" t="s">
        <v>65</v>
      </c>
      <c r="D90" t="str">
        <f>C90 &amp; " - " &amp; B90</f>
        <v>Items - Base Unit of Measure</v>
      </c>
      <c r="E90" t="s">
        <v>170</v>
      </c>
      <c r="F90" t="s">
        <v>201</v>
      </c>
      <c r="G90" t="s">
        <v>320</v>
      </c>
    </row>
    <row r="91" spans="1:7" x14ac:dyDescent="0.25">
      <c r="A91" t="str">
        <f>SUBSTITUTE(C91,C91,"Item")&amp;" "&amp;B91</f>
        <v>Item Unit Cost</v>
      </c>
      <c r="B91" t="s">
        <v>52</v>
      </c>
      <c r="C91" t="s">
        <v>65</v>
      </c>
      <c r="D91" t="str">
        <f>C91 &amp; " - " &amp; B91</f>
        <v>Items - Unit Cost</v>
      </c>
      <c r="E91" t="s">
        <v>170</v>
      </c>
      <c r="F91" t="s">
        <v>182</v>
      </c>
      <c r="G91" t="s">
        <v>321</v>
      </c>
    </row>
    <row r="92" spans="1:7" x14ac:dyDescent="0.25">
      <c r="A92" t="str">
        <f>SUBSTITUTE(C92,C92,"Item")&amp;" "&amp;B92</f>
        <v>Item USDA Value</v>
      </c>
      <c r="B92" t="s">
        <v>56</v>
      </c>
      <c r="C92" t="s">
        <v>65</v>
      </c>
      <c r="D92" t="str">
        <f>C92 &amp; " - " &amp; B92</f>
        <v>Items - USDA Value</v>
      </c>
      <c r="E92" t="s">
        <v>170</v>
      </c>
      <c r="F92" t="s">
        <v>183</v>
      </c>
      <c r="G92" t="s">
        <v>322</v>
      </c>
    </row>
    <row r="93" spans="1:7" x14ac:dyDescent="0.25">
      <c r="A93" t="str">
        <f>SUBSTITUTE(C93,C93,"Item")&amp;" "&amp;B93</f>
        <v>Item Unit Fees</v>
      </c>
      <c r="B93" t="s">
        <v>51</v>
      </c>
      <c r="C93" t="s">
        <v>65</v>
      </c>
      <c r="D93" t="str">
        <f>C93 &amp; " - " &amp; B93</f>
        <v>Items - Unit Fees</v>
      </c>
      <c r="E93" t="s">
        <v>170</v>
      </c>
      <c r="F93" t="s">
        <v>184</v>
      </c>
      <c r="G93" t="s">
        <v>323</v>
      </c>
    </row>
    <row r="94" spans="1:7" x14ac:dyDescent="0.25">
      <c r="A94" t="str">
        <f>SUBSTITUTE(C94,C94,"Item")&amp;" "&amp;B94</f>
        <v>Item Gross Weight</v>
      </c>
      <c r="B94" t="s">
        <v>53</v>
      </c>
      <c r="C94" t="s">
        <v>65</v>
      </c>
      <c r="D94" t="str">
        <f>C94 &amp; " - " &amp; B94</f>
        <v>Items - Gross Weight</v>
      </c>
      <c r="E94" t="s">
        <v>170</v>
      </c>
      <c r="F94" t="s">
        <v>185</v>
      </c>
      <c r="G94" t="s">
        <v>324</v>
      </c>
    </row>
    <row r="95" spans="1:7" x14ac:dyDescent="0.25">
      <c r="A95" t="str">
        <f>SUBSTITUTE(C95,C95,"Item")&amp;" "&amp;B95</f>
        <v>Item Inventory Posting Group</v>
      </c>
      <c r="B95" t="s">
        <v>50</v>
      </c>
      <c r="C95" t="s">
        <v>65</v>
      </c>
      <c r="D95" t="str">
        <f>C95 &amp; " - " &amp; B95</f>
        <v>Items - Inventory Posting Group</v>
      </c>
      <c r="E95" t="s">
        <v>170</v>
      </c>
      <c r="F95" t="s">
        <v>198</v>
      </c>
      <c r="G95" t="s">
        <v>325</v>
      </c>
    </row>
    <row r="96" spans="1:7" x14ac:dyDescent="0.25">
      <c r="A96" t="str">
        <f>SUBSTITUTE(C96,C96,"Item")&amp;" "&amp;B96</f>
        <v>Item FBC Storage Requirement Code</v>
      </c>
      <c r="B96" t="s">
        <v>57</v>
      </c>
      <c r="C96" t="s">
        <v>65</v>
      </c>
      <c r="D96" t="str">
        <f>C96 &amp; " - " &amp; B96</f>
        <v>Items - FBC Storage Requirement Code</v>
      </c>
      <c r="E96" t="s">
        <v>170</v>
      </c>
      <c r="F96" t="s">
        <v>206</v>
      </c>
      <c r="G96" t="s">
        <v>326</v>
      </c>
    </row>
    <row r="97" spans="1:7" x14ac:dyDescent="0.25">
      <c r="A97" t="str">
        <f>SUBSTITUTE(C97,C97,"Item")&amp;" "&amp;B97</f>
        <v>Item FBC Product Type Code</v>
      </c>
      <c r="B97" t="s">
        <v>58</v>
      </c>
      <c r="C97" t="s">
        <v>65</v>
      </c>
      <c r="D97" t="str">
        <f>C97 &amp; " - " &amp; B97</f>
        <v>Items - FBC Product Type Code</v>
      </c>
      <c r="E97" t="s">
        <v>170</v>
      </c>
      <c r="F97" t="s">
        <v>207</v>
      </c>
      <c r="G97" t="s">
        <v>327</v>
      </c>
    </row>
    <row r="98" spans="1:7" x14ac:dyDescent="0.25">
      <c r="A98" t="str">
        <f>SUBSTITUTE(C98,C98,"Item")&amp;" "&amp;B98</f>
        <v>Item FBC Product Category Code</v>
      </c>
      <c r="B98" t="s">
        <v>59</v>
      </c>
      <c r="C98" t="s">
        <v>65</v>
      </c>
      <c r="D98" t="str">
        <f>C98 &amp; " - " &amp; B98</f>
        <v>Items - FBC Product Category Code</v>
      </c>
      <c r="E98" t="s">
        <v>170</v>
      </c>
      <c r="F98" t="s">
        <v>208</v>
      </c>
      <c r="G98" t="s">
        <v>328</v>
      </c>
    </row>
    <row r="99" spans="1:7" x14ac:dyDescent="0.25">
      <c r="A99" t="str">
        <f>SUBSTITUTE(C99,C99,"Item")&amp;" "&amp;B99</f>
        <v>Item HER Rating</v>
      </c>
      <c r="B99" t="s">
        <v>62</v>
      </c>
      <c r="C99" t="s">
        <v>65</v>
      </c>
      <c r="D99" t="str">
        <f>C99 &amp; " - " &amp; B99</f>
        <v>Items - HER Rating</v>
      </c>
      <c r="E99" t="s">
        <v>170</v>
      </c>
      <c r="F99" t="s">
        <v>186</v>
      </c>
      <c r="G99" t="s">
        <v>329</v>
      </c>
    </row>
    <row r="100" spans="1:7" x14ac:dyDescent="0.25">
      <c r="A100" t="str">
        <f>SUBSTITUTE(C100,C100,"Item")&amp;" "&amp;B100</f>
        <v>Item HER Rating Date</v>
      </c>
      <c r="B100" t="s">
        <v>63</v>
      </c>
      <c r="C100" t="s">
        <v>65</v>
      </c>
      <c r="D100" t="str">
        <f>C100 &amp; " - " &amp; B100</f>
        <v>Items - HER Rating Date</v>
      </c>
      <c r="E100" t="s">
        <v>170</v>
      </c>
      <c r="F100" t="s">
        <v>199</v>
      </c>
      <c r="G100" t="s">
        <v>330</v>
      </c>
    </row>
    <row r="101" spans="1:7" x14ac:dyDescent="0.25">
      <c r="A101" t="str">
        <f>SUBSTITUTE(C101, C101, "G/L" &amp; " " &amp; B101)</f>
        <v>G/L Posting Date</v>
      </c>
      <c r="B101" t="s">
        <v>70</v>
      </c>
      <c r="C101" t="s">
        <v>90</v>
      </c>
      <c r="D101" t="str">
        <f>C101 &amp; " - " &amp; B101</f>
        <v>General Ledger Entries - Posting Date</v>
      </c>
      <c r="E101" t="s">
        <v>171</v>
      </c>
      <c r="F101" t="s">
        <v>209</v>
      </c>
      <c r="G101" s="2" t="s">
        <v>331</v>
      </c>
    </row>
    <row r="102" spans="1:7" x14ac:dyDescent="0.25">
      <c r="A102" t="str">
        <f>SUBSTITUTE(C102, C102, "G/L" &amp; " " &amp; B102)</f>
        <v>G/L User ID</v>
      </c>
      <c r="B102" t="s">
        <v>74</v>
      </c>
      <c r="C102" t="s">
        <v>90</v>
      </c>
      <c r="D102" t="str">
        <f>C102 &amp; " - " &amp; B102</f>
        <v>General Ledger Entries - User ID</v>
      </c>
      <c r="E102" t="s">
        <v>171</v>
      </c>
      <c r="F102" t="s">
        <v>210</v>
      </c>
      <c r="G102" t="s">
        <v>332</v>
      </c>
    </row>
    <row r="103" spans="1:7" x14ac:dyDescent="0.25">
      <c r="A103" t="str">
        <f>SUBSTITUTE(C103, C103, "G/L" &amp; " " &amp; B103)</f>
        <v>G/L Document Type</v>
      </c>
      <c r="B103" t="s">
        <v>71</v>
      </c>
      <c r="C103" t="s">
        <v>90</v>
      </c>
      <c r="D103" t="str">
        <f>C103 &amp; " - " &amp; B103</f>
        <v>General Ledger Entries - Document Type</v>
      </c>
      <c r="E103" t="s">
        <v>171</v>
      </c>
      <c r="F103" t="s">
        <v>211</v>
      </c>
      <c r="G103" t="s">
        <v>333</v>
      </c>
    </row>
    <row r="104" spans="1:7" x14ac:dyDescent="0.25">
      <c r="A104" t="str">
        <f>SUBSTITUTE(C104, C104, "G/L" &amp; " " &amp; B104)</f>
        <v>G/L Document No.</v>
      </c>
      <c r="B104" t="s">
        <v>72</v>
      </c>
      <c r="C104" t="s">
        <v>90</v>
      </c>
      <c r="D104" t="str">
        <f>C104 &amp; " - " &amp; B104</f>
        <v>General Ledger Entries - Document No.</v>
      </c>
      <c r="E104" t="s">
        <v>171</v>
      </c>
      <c r="F104" t="s">
        <v>212</v>
      </c>
      <c r="G104" t="s">
        <v>334</v>
      </c>
    </row>
    <row r="105" spans="1:7" x14ac:dyDescent="0.25">
      <c r="A105" t="str">
        <f>SUBSTITUTE(C105, C105, "G/L" &amp; " " &amp; B105)</f>
        <v>G/L External Document No.</v>
      </c>
      <c r="B105" t="s">
        <v>78</v>
      </c>
      <c r="C105" t="s">
        <v>90</v>
      </c>
      <c r="D105" t="str">
        <f>C105 &amp; " - " &amp; B105</f>
        <v>General Ledger Entries - External Document No.</v>
      </c>
      <c r="E105" t="s">
        <v>171</v>
      </c>
      <c r="F105" t="s">
        <v>213</v>
      </c>
      <c r="G105" t="s">
        <v>335</v>
      </c>
    </row>
    <row r="106" spans="1:7" x14ac:dyDescent="0.25">
      <c r="A106" t="s">
        <v>69</v>
      </c>
      <c r="B106" t="s">
        <v>69</v>
      </c>
      <c r="C106" t="s">
        <v>90</v>
      </c>
      <c r="D106" t="str">
        <f>C106 &amp; " - " &amp; B106</f>
        <v>General Ledger Entries - G/L Account No.</v>
      </c>
      <c r="E106" t="s">
        <v>171</v>
      </c>
      <c r="F106" t="s">
        <v>214</v>
      </c>
      <c r="G106" t="s">
        <v>336</v>
      </c>
    </row>
    <row r="107" spans="1:7" x14ac:dyDescent="0.25">
      <c r="A107" t="s">
        <v>84</v>
      </c>
      <c r="B107" t="s">
        <v>84</v>
      </c>
      <c r="C107" t="s">
        <v>90</v>
      </c>
      <c r="D107" t="str">
        <f>C107 &amp; " - " &amp; B107</f>
        <v>General Ledger Entries - G/L Account Name</v>
      </c>
      <c r="E107" t="s">
        <v>171</v>
      </c>
      <c r="F107" t="s">
        <v>215</v>
      </c>
      <c r="G107" t="s">
        <v>337</v>
      </c>
    </row>
    <row r="108" spans="1:7" x14ac:dyDescent="0.25">
      <c r="A108" t="str">
        <f>SUBSTITUTE(C108, C108, "G/L" &amp; " " &amp; B108)</f>
        <v>G/L Description</v>
      </c>
      <c r="B108" t="s">
        <v>48</v>
      </c>
      <c r="C108" t="s">
        <v>90</v>
      </c>
      <c r="D108" t="str">
        <f>C108 &amp; " - " &amp; B108</f>
        <v>General Ledger Entries - Description</v>
      </c>
      <c r="E108" t="s">
        <v>171</v>
      </c>
      <c r="F108" t="s">
        <v>216</v>
      </c>
      <c r="G108" t="s">
        <v>338</v>
      </c>
    </row>
    <row r="109" spans="1:7" x14ac:dyDescent="0.25">
      <c r="A109" t="str">
        <f>SUBSTITUTE(C109, C109, "G/L" &amp; " " &amp; B109)</f>
        <v>G/L Fund No.</v>
      </c>
      <c r="B109" t="s">
        <v>40</v>
      </c>
      <c r="C109" t="s">
        <v>90</v>
      </c>
      <c r="D109" t="str">
        <f>C109 &amp; " - " &amp; B109</f>
        <v>General Ledger Entries - Fund No.</v>
      </c>
      <c r="E109" t="s">
        <v>171</v>
      </c>
      <c r="F109" t="s">
        <v>217</v>
      </c>
      <c r="G109" t="s">
        <v>339</v>
      </c>
    </row>
    <row r="110" spans="1:7" x14ac:dyDescent="0.25">
      <c r="A110" t="str">
        <f>SUBSTITUTE(C110, C110, "G/L" &amp; " " &amp; B110)</f>
        <v>G/L Department Code</v>
      </c>
      <c r="B110" t="s">
        <v>10</v>
      </c>
      <c r="C110" t="s">
        <v>90</v>
      </c>
      <c r="D110" t="str">
        <f>C110 &amp; " - " &amp; B110</f>
        <v>General Ledger Entries - Department Code</v>
      </c>
      <c r="E110" t="s">
        <v>171</v>
      </c>
      <c r="F110" t="s">
        <v>218</v>
      </c>
      <c r="G110" t="s">
        <v>340</v>
      </c>
    </row>
    <row r="111" spans="1:7" x14ac:dyDescent="0.25">
      <c r="A111" t="str">
        <f>SUBSTITUTE(C111, C111, "G/L" &amp; " " &amp; B111)</f>
        <v>G/L Program Code</v>
      </c>
      <c r="B111" t="s">
        <v>11</v>
      </c>
      <c r="C111" t="s">
        <v>90</v>
      </c>
      <c r="D111" t="str">
        <f>C111 &amp; " - " &amp; B111</f>
        <v>General Ledger Entries - Program Code</v>
      </c>
      <c r="E111" t="s">
        <v>171</v>
      </c>
      <c r="F111" t="s">
        <v>219</v>
      </c>
      <c r="G111" t="s">
        <v>341</v>
      </c>
    </row>
    <row r="112" spans="1:7" x14ac:dyDescent="0.25">
      <c r="A112" t="str">
        <f>SUBSTITUTE(C112, C112, "G/L" &amp; " " &amp; B112)</f>
        <v>G/L Debit Amount</v>
      </c>
      <c r="B112" t="s">
        <v>24</v>
      </c>
      <c r="C112" t="s">
        <v>90</v>
      </c>
      <c r="D112" t="str">
        <f>C112 &amp; " - " &amp; B112</f>
        <v>General Ledger Entries - Debit Amount</v>
      </c>
      <c r="E112" t="s">
        <v>171</v>
      </c>
      <c r="F112" t="s">
        <v>220</v>
      </c>
      <c r="G112" t="s">
        <v>342</v>
      </c>
    </row>
    <row r="113" spans="1:7" x14ac:dyDescent="0.25">
      <c r="A113" t="str">
        <f>SUBSTITUTE(C113, C113, "G/L" &amp; " " &amp; B113)</f>
        <v>G/L Credit Amount</v>
      </c>
      <c r="B113" t="s">
        <v>25</v>
      </c>
      <c r="C113" t="s">
        <v>90</v>
      </c>
      <c r="D113" t="str">
        <f>C113 &amp; " - " &amp; B113</f>
        <v>General Ledger Entries - Credit Amount</v>
      </c>
      <c r="E113" t="s">
        <v>171</v>
      </c>
      <c r="F113" t="s">
        <v>221</v>
      </c>
      <c r="G113" t="s">
        <v>343</v>
      </c>
    </row>
    <row r="114" spans="1:7" x14ac:dyDescent="0.25">
      <c r="A114" t="str">
        <f>SUBSTITUTE(C114, C114, "G/L" &amp; " " &amp; B114)</f>
        <v>G/L Bal. Account Type</v>
      </c>
      <c r="B114" t="s">
        <v>77</v>
      </c>
      <c r="C114" t="s">
        <v>90</v>
      </c>
      <c r="D114" t="str">
        <f>C114 &amp; " - " &amp; B114</f>
        <v>General Ledger Entries - Bal. Account Type</v>
      </c>
      <c r="E114" t="s">
        <v>171</v>
      </c>
      <c r="F114" t="s">
        <v>222</v>
      </c>
      <c r="G114" t="s">
        <v>344</v>
      </c>
    </row>
    <row r="115" spans="1:7" x14ac:dyDescent="0.25">
      <c r="A115" t="str">
        <f>SUBSTITUTE(C115, C115, "G/L" &amp; " " &amp; B115)</f>
        <v>G/L Bal. Account No.</v>
      </c>
      <c r="B115" t="s">
        <v>73</v>
      </c>
      <c r="C115" t="s">
        <v>90</v>
      </c>
      <c r="D115" t="str">
        <f>C115 &amp; " - " &amp; B115</f>
        <v>General Ledger Entries - Bal. Account No.</v>
      </c>
      <c r="E115" t="s">
        <v>171</v>
      </c>
      <c r="F115" t="s">
        <v>223</v>
      </c>
      <c r="G115" t="s">
        <v>345</v>
      </c>
    </row>
    <row r="116" spans="1:7" x14ac:dyDescent="0.25">
      <c r="A116" t="str">
        <f>SUBSTITUTE(C116, C116, "G/L" &amp; " " &amp; B116)</f>
        <v>G/L Source Code</v>
      </c>
      <c r="B116" t="s">
        <v>75</v>
      </c>
      <c r="C116" t="s">
        <v>90</v>
      </c>
      <c r="D116" t="str">
        <f>C116 &amp; " - " &amp; B116</f>
        <v>General Ledger Entries - Source Code</v>
      </c>
      <c r="E116" t="s">
        <v>171</v>
      </c>
      <c r="F116" t="s">
        <v>224</v>
      </c>
      <c r="G116" t="s">
        <v>346</v>
      </c>
    </row>
    <row r="117" spans="1:7" x14ac:dyDescent="0.25">
      <c r="A117" t="str">
        <f>SUBSTITUTE(C117, C117, "G/L" &amp; " " &amp; B117)</f>
        <v>G/L Source Name</v>
      </c>
      <c r="B117" t="s">
        <v>87</v>
      </c>
      <c r="C117" t="s">
        <v>90</v>
      </c>
      <c r="D117" t="str">
        <f>C117 &amp; " - " &amp; B117</f>
        <v>General Ledger Entries - Source Name</v>
      </c>
      <c r="E117" t="s">
        <v>171</v>
      </c>
      <c r="F117" t="s">
        <v>225</v>
      </c>
      <c r="G117" t="s">
        <v>347</v>
      </c>
    </row>
    <row r="118" spans="1:7" x14ac:dyDescent="0.25">
      <c r="A118" t="str">
        <f>SUBSTITUTE(C118, C118, "G/L" &amp; " " &amp; B118)</f>
        <v>G/L Source Type</v>
      </c>
      <c r="B118" t="s">
        <v>79</v>
      </c>
      <c r="C118" t="s">
        <v>90</v>
      </c>
      <c r="D118" t="str">
        <f>C118 &amp; " - " &amp; B118</f>
        <v>General Ledger Entries - Source Type</v>
      </c>
      <c r="E118" t="s">
        <v>171</v>
      </c>
      <c r="F118" t="s">
        <v>226</v>
      </c>
      <c r="G118" t="s">
        <v>348</v>
      </c>
    </row>
    <row r="119" spans="1:7" x14ac:dyDescent="0.25">
      <c r="A119" t="str">
        <f>SUBSTITUTE(C119, C119, "G/L" &amp; " " &amp; B119)</f>
        <v>G/L Source No.</v>
      </c>
      <c r="B119" t="s">
        <v>80</v>
      </c>
      <c r="C119" t="s">
        <v>90</v>
      </c>
      <c r="D119" t="str">
        <f>C119 &amp; " - " &amp; B119</f>
        <v>General Ledger Entries - Source No.</v>
      </c>
      <c r="E119" t="s">
        <v>171</v>
      </c>
      <c r="F119" t="s">
        <v>227</v>
      </c>
      <c r="G119" t="s">
        <v>349</v>
      </c>
    </row>
    <row r="120" spans="1:7" x14ac:dyDescent="0.25">
      <c r="A120" t="str">
        <f>SUBSTITUTE(C120, C120, "G/L" &amp; " " &amp; B120)</f>
        <v>G/L Reason Code</v>
      </c>
      <c r="B120" t="s">
        <v>76</v>
      </c>
      <c r="C120" t="s">
        <v>90</v>
      </c>
      <c r="D120" t="str">
        <f>C120 &amp; " - " &amp; B120</f>
        <v>General Ledger Entries - Reason Code</v>
      </c>
      <c r="E120" t="s">
        <v>171</v>
      </c>
      <c r="F120" t="s">
        <v>228</v>
      </c>
      <c r="G120" t="s">
        <v>350</v>
      </c>
    </row>
    <row r="121" spans="1:7" x14ac:dyDescent="0.25">
      <c r="A121" t="str">
        <f>SUBSTITUTE(C121, C121, "G/L" &amp; " " &amp; B121)</f>
        <v>G/L Reversed</v>
      </c>
      <c r="B121" t="s">
        <v>81</v>
      </c>
      <c r="C121" t="s">
        <v>90</v>
      </c>
      <c r="D121" t="str">
        <f>C121 &amp; " - " &amp; B121</f>
        <v>General Ledger Entries - Reversed</v>
      </c>
      <c r="E121" t="s">
        <v>171</v>
      </c>
      <c r="F121" t="s">
        <v>229</v>
      </c>
      <c r="G121" t="s">
        <v>351</v>
      </c>
    </row>
    <row r="122" spans="1:7" x14ac:dyDescent="0.25">
      <c r="A122" t="str">
        <f>SUBSTITUTE(C122, C122, "G/L" &amp; " " &amp; B122)</f>
        <v>G/L Reversed by Entry No.</v>
      </c>
      <c r="B122" t="s">
        <v>82</v>
      </c>
      <c r="C122" t="s">
        <v>90</v>
      </c>
      <c r="D122" t="str">
        <f>C122 &amp; " - " &amp; B122</f>
        <v>General Ledger Entries - Reversed by Entry No.</v>
      </c>
      <c r="E122" t="s">
        <v>171</v>
      </c>
      <c r="F122" t="s">
        <v>230</v>
      </c>
      <c r="G122" t="s">
        <v>352</v>
      </c>
    </row>
    <row r="123" spans="1:7" x14ac:dyDescent="0.25">
      <c r="A123" t="str">
        <f>SUBSTITUTE(C123, C123, "G/L" &amp; " " &amp; B123)</f>
        <v>G/L Reversed Entry No.</v>
      </c>
      <c r="B123" t="s">
        <v>83</v>
      </c>
      <c r="C123" t="s">
        <v>90</v>
      </c>
      <c r="D123" t="str">
        <f>C123 &amp; " - " &amp; B123</f>
        <v>General Ledger Entries - Reversed Entry No.</v>
      </c>
      <c r="E123" t="s">
        <v>171</v>
      </c>
      <c r="F123" t="s">
        <v>231</v>
      </c>
      <c r="G123" t="s">
        <v>353</v>
      </c>
    </row>
    <row r="124" spans="1:7" x14ac:dyDescent="0.25">
      <c r="A124" t="str">
        <f>SUBSTITUTE(C124, C124, "G/L" &amp; " " &amp; B124)</f>
        <v>G/L Allocation Code</v>
      </c>
      <c r="B124" t="s">
        <v>88</v>
      </c>
      <c r="C124" t="s">
        <v>90</v>
      </c>
      <c r="D124" t="str">
        <f>C124 &amp; " - " &amp; B124</f>
        <v>General Ledger Entries - Allocation Code</v>
      </c>
      <c r="E124" t="s">
        <v>171</v>
      </c>
      <c r="F124" t="s">
        <v>232</v>
      </c>
      <c r="G124" t="s">
        <v>354</v>
      </c>
    </row>
    <row r="125" spans="1:7" x14ac:dyDescent="0.25">
      <c r="A125" t="str">
        <f>SUBSTITUTE(C125, C125, "G/L" &amp; " " &amp; B125)</f>
        <v>G/L Parent Source No.</v>
      </c>
      <c r="B125" t="s">
        <v>86</v>
      </c>
      <c r="C125" t="s">
        <v>90</v>
      </c>
      <c r="D125" t="str">
        <f>C125 &amp; " - " &amp; B125</f>
        <v>General Ledger Entries - Parent Source No.</v>
      </c>
      <c r="E125" t="s">
        <v>171</v>
      </c>
      <c r="F125" t="s">
        <v>233</v>
      </c>
      <c r="G125" t="s">
        <v>355</v>
      </c>
    </row>
    <row r="126" spans="1:7" x14ac:dyDescent="0.25">
      <c r="A126" t="str">
        <f>SUBSTITUTE(C126, C126, "G/L" &amp; " " &amp; B126)</f>
        <v>G/L Entry No.</v>
      </c>
      <c r="B126" t="s">
        <v>89</v>
      </c>
      <c r="C126" t="s">
        <v>90</v>
      </c>
      <c r="D126" t="str">
        <f>C126 &amp; " - " &amp; B126</f>
        <v>General Ledger Entries - Entry No.</v>
      </c>
      <c r="E126" t="s">
        <v>171</v>
      </c>
      <c r="F126" t="s">
        <v>234</v>
      </c>
      <c r="G126" t="s">
        <v>356</v>
      </c>
    </row>
    <row r="127" spans="1:7" x14ac:dyDescent="0.25">
      <c r="A127" t="str">
        <f>SUBSTITUTE(C127, C127, "G/L" &amp; " " &amp; B127)</f>
        <v>G/L Restricted Code</v>
      </c>
      <c r="B127" t="s">
        <v>85</v>
      </c>
      <c r="C127" t="s">
        <v>90</v>
      </c>
      <c r="D127" t="str">
        <f>C127 &amp; " - " &amp; B127</f>
        <v>General Ledger Entries - Restricted Code</v>
      </c>
      <c r="E127" t="s">
        <v>171</v>
      </c>
      <c r="F127" t="s">
        <v>235</v>
      </c>
      <c r="G127" t="s">
        <v>357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EssentialData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 Intern</dc:creator>
  <cp:lastModifiedBy>BSA Intern</cp:lastModifiedBy>
  <dcterms:created xsi:type="dcterms:W3CDTF">2025-10-15T17:05:39Z</dcterms:created>
  <dcterms:modified xsi:type="dcterms:W3CDTF">2026-01-21T21:48:25Z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1033</vt:lpwstr>
  </property>
</Properties>
</file>